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saum\Downloads\"/>
    </mc:Choice>
  </mc:AlternateContent>
  <xr:revisionPtr revIDLastSave="0" documentId="8_{596C6809-3A39-4CC0-AF30-94842436B96B}" xr6:coauthVersionLast="47" xr6:coauthVersionMax="47" xr10:uidLastSave="{00000000-0000-0000-0000-000000000000}"/>
  <bookViews>
    <workbookView xWindow="-110" yWindow="-110" windowWidth="19420" windowHeight="10300" firstSheet="3" activeTab="6" xr2:uid="{00000000-000D-0000-FFFF-FFFF00000000}"/>
  </bookViews>
  <sheets>
    <sheet name="Superstore" sheetId="1" r:id="rId1"/>
    <sheet name="Dashboard" sheetId="7" r:id="rId2"/>
    <sheet name="Top Products" sheetId="6" r:id="rId3"/>
    <sheet name="Region Sales" sheetId="3" r:id="rId4"/>
    <sheet name="Subcategory Profit" sheetId="4" r:id="rId5"/>
    <sheet name="Monthly Sales" sheetId="5" r:id="rId6"/>
    <sheet name="Category Sales" sheetId="2" r:id="rId7"/>
  </sheets>
  <definedNames>
    <definedName name="Slicer_Category">#N/A</definedName>
    <definedName name="Slicer_Region">#N/A</definedName>
    <definedName name="Slicer_Year">#N/A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3" i="1"/>
  <c r="D4" i="1"/>
  <c r="D5" i="1"/>
  <c r="D6" i="1"/>
  <c r="D7" i="1"/>
  <c r="D8" i="1"/>
  <c r="D9" i="1"/>
  <c r="D10" i="1"/>
  <c r="D11" i="1"/>
  <c r="D2" i="1"/>
</calcChain>
</file>

<file path=xl/sharedStrings.xml><?xml version="1.0" encoding="utf-8"?>
<sst xmlns="http://schemas.openxmlformats.org/spreadsheetml/2006/main" count="2474" uniqueCount="675">
  <si>
    <t>Order ID</t>
  </si>
  <si>
    <t>Order Date</t>
  </si>
  <si>
    <t>Ship Date</t>
  </si>
  <si>
    <t>Customer Name</t>
  </si>
  <si>
    <t>Segment</t>
  </si>
  <si>
    <t>Country</t>
  </si>
  <si>
    <t>City</t>
  </si>
  <si>
    <t>State</t>
  </si>
  <si>
    <t>Region</t>
  </si>
  <si>
    <t>Category</t>
  </si>
  <si>
    <t>Sub-Category</t>
  </si>
  <si>
    <t>Product Name</t>
  </si>
  <si>
    <t>Sales</t>
  </si>
  <si>
    <t>Quantity</t>
  </si>
  <si>
    <t>Profit</t>
  </si>
  <si>
    <t>ORD-1000</t>
  </si>
  <si>
    <t>2021-12-15</t>
  </si>
  <si>
    <t>2021-12-19</t>
  </si>
  <si>
    <t>Aarav Sharma</t>
  </si>
  <si>
    <t>Consumer</t>
  </si>
  <si>
    <t>India</t>
  </si>
  <si>
    <t>Bengaluru</t>
  </si>
  <si>
    <t>Karnataka</t>
  </si>
  <si>
    <t>North</t>
  </si>
  <si>
    <t>Technology</t>
  </si>
  <si>
    <t>Laptops</t>
  </si>
  <si>
    <t>Laptops Product 33</t>
  </si>
  <si>
    <t>ORD-1001</t>
  </si>
  <si>
    <t>2021-05-01</t>
  </si>
  <si>
    <t>2021-05-03</t>
  </si>
  <si>
    <t>Karan Verma</t>
  </si>
  <si>
    <t>Corporate</t>
  </si>
  <si>
    <t>Furniture</t>
  </si>
  <si>
    <t>Tables</t>
  </si>
  <si>
    <t>Tables Product 9</t>
  </si>
  <si>
    <t>ORD-1002</t>
  </si>
  <si>
    <t>2021-03-26</t>
  </si>
  <si>
    <t>2021-03-29</t>
  </si>
  <si>
    <t>Riya Patel</t>
  </si>
  <si>
    <t>Kolkata</t>
  </si>
  <si>
    <t>West Bengal</t>
  </si>
  <si>
    <t>South</t>
  </si>
  <si>
    <t>Accessories</t>
  </si>
  <si>
    <t>Accessories Product 46</t>
  </si>
  <si>
    <t>ORD-1003</t>
  </si>
  <si>
    <t>2021-09-14</t>
  </si>
  <si>
    <t>2021-09-15</t>
  </si>
  <si>
    <t>Chennai</t>
  </si>
  <si>
    <t>Tamil Nadu</t>
  </si>
  <si>
    <t>Laptops Product 42</t>
  </si>
  <si>
    <t>ORD-1004</t>
  </si>
  <si>
    <t>2021-10-31</t>
  </si>
  <si>
    <t>2021-11-02</t>
  </si>
  <si>
    <t>Mumbai</t>
  </si>
  <si>
    <t>Maharashtra</t>
  </si>
  <si>
    <t>Bookcases</t>
  </si>
  <si>
    <t>Bookcases Product 24</t>
  </si>
  <si>
    <t>ORD-1005</t>
  </si>
  <si>
    <t>2021-11-15</t>
  </si>
  <si>
    <t>2021-11-16</t>
  </si>
  <si>
    <t>Meera Singh</t>
  </si>
  <si>
    <t>Chairs</t>
  </si>
  <si>
    <t>Chairs Product 36</t>
  </si>
  <si>
    <t>ORD-1006</t>
  </si>
  <si>
    <t>2021-01-18</t>
  </si>
  <si>
    <t>2021-01-19</t>
  </si>
  <si>
    <t>Office Supplies</t>
  </si>
  <si>
    <t>Paper</t>
  </si>
  <si>
    <t>Paper Product 3</t>
  </si>
  <si>
    <t>ORD-1007</t>
  </si>
  <si>
    <t>2021-08-19</t>
  </si>
  <si>
    <t>2021-08-24</t>
  </si>
  <si>
    <t>Home Office</t>
  </si>
  <si>
    <t>East</t>
  </si>
  <si>
    <t>Storage</t>
  </si>
  <si>
    <t>Storage Product 23</t>
  </si>
  <si>
    <t>ORD-1008</t>
  </si>
  <si>
    <t>2021-08-10</t>
  </si>
  <si>
    <t>2021-08-11</t>
  </si>
  <si>
    <t>West</t>
  </si>
  <si>
    <t>Binders</t>
  </si>
  <si>
    <t>Binders Product 44</t>
  </si>
  <si>
    <t>ORD-1009</t>
  </si>
  <si>
    <t>2021-01-14</t>
  </si>
  <si>
    <t>2021-01-17</t>
  </si>
  <si>
    <t>Delhi</t>
  </si>
  <si>
    <t>Storage Product 8</t>
  </si>
  <si>
    <t>ORD-1010</t>
  </si>
  <si>
    <t>2021-02-21</t>
  </si>
  <si>
    <t>2021-02-24</t>
  </si>
  <si>
    <t>Phones</t>
  </si>
  <si>
    <t>Phones Product 46</t>
  </si>
  <si>
    <t>ORD-1011</t>
  </si>
  <si>
    <t>2021-11-30</t>
  </si>
  <si>
    <t>2021-12-05</t>
  </si>
  <si>
    <t>Phones Product 14</t>
  </si>
  <si>
    <t>ORD-1012</t>
  </si>
  <si>
    <t>2021-05-09</t>
  </si>
  <si>
    <t>2021-05-13</t>
  </si>
  <si>
    <t>Bookcases Product 26</t>
  </si>
  <si>
    <t>ORD-1013</t>
  </si>
  <si>
    <t>2021-04-03</t>
  </si>
  <si>
    <t>2021-04-06</t>
  </si>
  <si>
    <t>Chairs Product 1</t>
  </si>
  <si>
    <t>ORD-1014</t>
  </si>
  <si>
    <t>2021-05-07</t>
  </si>
  <si>
    <t>2021-05-12</t>
  </si>
  <si>
    <t>Chairs Product 31</t>
  </si>
  <si>
    <t>ORD-1015</t>
  </si>
  <si>
    <t>2021-08-20</t>
  </si>
  <si>
    <t>2021-08-23</t>
  </si>
  <si>
    <t>Chairs Product 6</t>
  </si>
  <si>
    <t>ORD-1016</t>
  </si>
  <si>
    <t>2021-04-10</t>
  </si>
  <si>
    <t>2021-04-12</t>
  </si>
  <si>
    <t>Arjun Mehta</t>
  </si>
  <si>
    <t>Binders Product 33</t>
  </si>
  <si>
    <t>ORD-1017</t>
  </si>
  <si>
    <t>2021-09-27</t>
  </si>
  <si>
    <t>2021-09-28</t>
  </si>
  <si>
    <t>Accessories Product 29</t>
  </si>
  <si>
    <t>ORD-1018</t>
  </si>
  <si>
    <t>2021-05-24</t>
  </si>
  <si>
    <t>2021-05-26</t>
  </si>
  <si>
    <t>Phones Product 6</t>
  </si>
  <si>
    <t>ORD-1019</t>
  </si>
  <si>
    <t>2021-04-14</t>
  </si>
  <si>
    <t>2021-04-17</t>
  </si>
  <si>
    <t>Bookcases Product 7</t>
  </si>
  <si>
    <t>ORD-1020</t>
  </si>
  <si>
    <t>2021-07-12</t>
  </si>
  <si>
    <t>2021-07-17</t>
  </si>
  <si>
    <t>Chairs Product 35</t>
  </si>
  <si>
    <t>ORD-1021</t>
  </si>
  <si>
    <t>2021-08-15</t>
  </si>
  <si>
    <t>2021-08-17</t>
  </si>
  <si>
    <t>Chairs Product 3</t>
  </si>
  <si>
    <t>ORD-1022</t>
  </si>
  <si>
    <t>2021-06-08</t>
  </si>
  <si>
    <t>2021-06-12</t>
  </si>
  <si>
    <t>Tables Product 2</t>
  </si>
  <si>
    <t>ORD-1023</t>
  </si>
  <si>
    <t>2021-06-18</t>
  </si>
  <si>
    <t>2021-06-20</t>
  </si>
  <si>
    <t>Laptops Product 24</t>
  </si>
  <si>
    <t>ORD-1024</t>
  </si>
  <si>
    <t>2021-03-11</t>
  </si>
  <si>
    <t>2021-03-15</t>
  </si>
  <si>
    <t>Storage Product 5</t>
  </si>
  <si>
    <t>ORD-1025</t>
  </si>
  <si>
    <t>2021-01-31</t>
  </si>
  <si>
    <t>2021-02-01</t>
  </si>
  <si>
    <t>ORD-1026</t>
  </si>
  <si>
    <t>2021-12-23</t>
  </si>
  <si>
    <t>2021-12-27</t>
  </si>
  <si>
    <t>Paper Product 32</t>
  </si>
  <si>
    <t>ORD-1027</t>
  </si>
  <si>
    <t>2021-09-20</t>
  </si>
  <si>
    <t>Binders Product 20</t>
  </si>
  <si>
    <t>ORD-1028</t>
  </si>
  <si>
    <t>2021-06-17</t>
  </si>
  <si>
    <t>Binders Product 17</t>
  </si>
  <si>
    <t>ORD-1029</t>
  </si>
  <si>
    <t>2021-11-14</t>
  </si>
  <si>
    <t>2021-11-19</t>
  </si>
  <si>
    <t>Bookcases Product 45</t>
  </si>
  <si>
    <t>ORD-1030</t>
  </si>
  <si>
    <t>2021-10-12</t>
  </si>
  <si>
    <t>2021-10-13</t>
  </si>
  <si>
    <t>Chairs Product 14</t>
  </si>
  <si>
    <t>ORD-1031</t>
  </si>
  <si>
    <t>2021-11-17</t>
  </si>
  <si>
    <t>2021-11-22</t>
  </si>
  <si>
    <t>Chairs Product 2</t>
  </si>
  <si>
    <t>ORD-1032</t>
  </si>
  <si>
    <t>2021-03-18</t>
  </si>
  <si>
    <t>2021-03-21</t>
  </si>
  <si>
    <t>Laptops Product 49</t>
  </si>
  <si>
    <t>ORD-1033</t>
  </si>
  <si>
    <t>Bookcases Product 17</t>
  </si>
  <si>
    <t>ORD-1034</t>
  </si>
  <si>
    <t>2021-01-28</t>
  </si>
  <si>
    <t>2021-02-02</t>
  </si>
  <si>
    <t>Tables Product 4</t>
  </si>
  <si>
    <t>ORD-1035</t>
  </si>
  <si>
    <t>2021-06-23</t>
  </si>
  <si>
    <t>2021-06-25</t>
  </si>
  <si>
    <t>Tables Product 28</t>
  </si>
  <si>
    <t>ORD-1036</t>
  </si>
  <si>
    <t>2021-04-15</t>
  </si>
  <si>
    <t>Storage Product 15</t>
  </si>
  <si>
    <t>ORD-1037</t>
  </si>
  <si>
    <t>2021-08-05</t>
  </si>
  <si>
    <t>Storage Product 32</t>
  </si>
  <si>
    <t>ORD-1038</t>
  </si>
  <si>
    <t>2021-07-13</t>
  </si>
  <si>
    <t>2021-07-14</t>
  </si>
  <si>
    <t>Bookcases Product 46</t>
  </si>
  <si>
    <t>ORD-1039</t>
  </si>
  <si>
    <t>2021-06-13</t>
  </si>
  <si>
    <t>Laptops Product 26</t>
  </si>
  <si>
    <t>ORD-1040</t>
  </si>
  <si>
    <t>2021-01-01</t>
  </si>
  <si>
    <t>2021-01-05</t>
  </si>
  <si>
    <t>Tables Product 13</t>
  </si>
  <si>
    <t>ORD-1041</t>
  </si>
  <si>
    <t>2021-11-20</t>
  </si>
  <si>
    <t>2021-11-21</t>
  </si>
  <si>
    <t>Tables Product 12</t>
  </si>
  <si>
    <t>ORD-1042</t>
  </si>
  <si>
    <t>2021-08-21</t>
  </si>
  <si>
    <t>2021-08-25</t>
  </si>
  <si>
    <t>Chairs Product 28</t>
  </si>
  <si>
    <t>ORD-1043</t>
  </si>
  <si>
    <t>2021-11-18</t>
  </si>
  <si>
    <t>Bookcases Product 9</t>
  </si>
  <si>
    <t>ORD-1044</t>
  </si>
  <si>
    <t>2021-10-20</t>
  </si>
  <si>
    <t>2021-10-21</t>
  </si>
  <si>
    <t>Phones Product 30</t>
  </si>
  <si>
    <t>ORD-1045</t>
  </si>
  <si>
    <t>2021-09-08</t>
  </si>
  <si>
    <t>2021-09-10</t>
  </si>
  <si>
    <t>ORD-1046</t>
  </si>
  <si>
    <t>2021-10-24</t>
  </si>
  <si>
    <t>ORD-1047</t>
  </si>
  <si>
    <t>2021-02-08</t>
  </si>
  <si>
    <t>2021-02-10</t>
  </si>
  <si>
    <t>Paper Product 14</t>
  </si>
  <si>
    <t>ORD-1048</t>
  </si>
  <si>
    <t>2021-12-26</t>
  </si>
  <si>
    <t>2021-12-30</t>
  </si>
  <si>
    <t>Phones Product 45</t>
  </si>
  <si>
    <t>ORD-1049</t>
  </si>
  <si>
    <t>2021-02-25</t>
  </si>
  <si>
    <t>Accessories Product 31</t>
  </si>
  <si>
    <t>ORD-1050</t>
  </si>
  <si>
    <t>2021-08-29</t>
  </si>
  <si>
    <t>2021-08-31</t>
  </si>
  <si>
    <t>Tables Product 35</t>
  </si>
  <si>
    <t>ORD-1051</t>
  </si>
  <si>
    <t>2021-01-23</t>
  </si>
  <si>
    <t>Bookcases Product 15</t>
  </si>
  <si>
    <t>ORD-1052</t>
  </si>
  <si>
    <t>2021-07-04</t>
  </si>
  <si>
    <t>2021-07-07</t>
  </si>
  <si>
    <t>Paper Product 33</t>
  </si>
  <si>
    <t>ORD-1053</t>
  </si>
  <si>
    <t>2021-06-11</t>
  </si>
  <si>
    <t>2021-06-15</t>
  </si>
  <si>
    <t>Chairs Product 34</t>
  </si>
  <si>
    <t>ORD-1054</t>
  </si>
  <si>
    <t>2021-08-28</t>
  </si>
  <si>
    <t>ORD-1055</t>
  </si>
  <si>
    <t>Storage Product 19</t>
  </si>
  <si>
    <t>ORD-1056</t>
  </si>
  <si>
    <t>2021-07-08</t>
  </si>
  <si>
    <t>Paper Product 39</t>
  </si>
  <si>
    <t>ORD-1057</t>
  </si>
  <si>
    <t>2021-07-16</t>
  </si>
  <si>
    <t>2021-07-18</t>
  </si>
  <si>
    <t>Bookcases Product 19</t>
  </si>
  <si>
    <t>ORD-1058</t>
  </si>
  <si>
    <t>2021-10-05</t>
  </si>
  <si>
    <t>2021-10-08</t>
  </si>
  <si>
    <t>Binders Product 4</t>
  </si>
  <si>
    <t>ORD-1059</t>
  </si>
  <si>
    <t>2021-11-26</t>
  </si>
  <si>
    <t>2021-11-29</t>
  </si>
  <si>
    <t>Binders Product 13</t>
  </si>
  <si>
    <t>ORD-1060</t>
  </si>
  <si>
    <t>2021-02-03</t>
  </si>
  <si>
    <t>2021-02-07</t>
  </si>
  <si>
    <t>Paper Product 21</t>
  </si>
  <si>
    <t>ORD-1061</t>
  </si>
  <si>
    <t>2021-12-06</t>
  </si>
  <si>
    <t>2021-12-09</t>
  </si>
  <si>
    <t>Phones Product 12</t>
  </si>
  <si>
    <t>ORD-1062</t>
  </si>
  <si>
    <t>2021-04-07</t>
  </si>
  <si>
    <t>Binders Product 12</t>
  </si>
  <si>
    <t>ORD-1063</t>
  </si>
  <si>
    <t>2021-06-16</t>
  </si>
  <si>
    <t>ORD-1064</t>
  </si>
  <si>
    <t>2021-12-02</t>
  </si>
  <si>
    <t>Chairs Product 44</t>
  </si>
  <si>
    <t>ORD-1065</t>
  </si>
  <si>
    <t>Storage Product 29</t>
  </si>
  <si>
    <t>ORD-1066</t>
  </si>
  <si>
    <t>2021-02-15</t>
  </si>
  <si>
    <t>Paper Product 9</t>
  </si>
  <si>
    <t>ORD-1067</t>
  </si>
  <si>
    <t>2021-06-30</t>
  </si>
  <si>
    <t>2021-07-05</t>
  </si>
  <si>
    <t>Binders Product 40</t>
  </si>
  <si>
    <t>ORD-1068</t>
  </si>
  <si>
    <t>Chairs Product 16</t>
  </si>
  <si>
    <t>ORD-1069</t>
  </si>
  <si>
    <t>2021-08-02</t>
  </si>
  <si>
    <t>2021-08-03</t>
  </si>
  <si>
    <t>Accessories Product 34</t>
  </si>
  <si>
    <t>ORD-1070</t>
  </si>
  <si>
    <t>2021-05-14</t>
  </si>
  <si>
    <t>ORD-1071</t>
  </si>
  <si>
    <t>Chairs Product 46</t>
  </si>
  <si>
    <t>ORD-1072</t>
  </si>
  <si>
    <t>2021-12-17</t>
  </si>
  <si>
    <t>2021-12-20</t>
  </si>
  <si>
    <t>ORD-1073</t>
  </si>
  <si>
    <t>2021-11-06</t>
  </si>
  <si>
    <t>2021-11-11</t>
  </si>
  <si>
    <t>Storage Product 36</t>
  </si>
  <si>
    <t>ORD-1074</t>
  </si>
  <si>
    <t>2021-01-15</t>
  </si>
  <si>
    <t>2021-01-16</t>
  </si>
  <si>
    <t>Chairs Product 29</t>
  </si>
  <si>
    <t>ORD-1075</t>
  </si>
  <si>
    <t>2021-09-23</t>
  </si>
  <si>
    <t>2021-09-25</t>
  </si>
  <si>
    <t>Accessories Product 13</t>
  </si>
  <si>
    <t>ORD-1076</t>
  </si>
  <si>
    <t>ORD-1077</t>
  </si>
  <si>
    <t>2021-01-06</t>
  </si>
  <si>
    <t>2021-01-09</t>
  </si>
  <si>
    <t>Paper Product 2</t>
  </si>
  <si>
    <t>ORD-1078</t>
  </si>
  <si>
    <t>2021-01-21</t>
  </si>
  <si>
    <t>Binders Product 27</t>
  </si>
  <si>
    <t>ORD-1079</t>
  </si>
  <si>
    <t>2021-01-08</t>
  </si>
  <si>
    <t>Paper Product 50</t>
  </si>
  <si>
    <t>ORD-1080</t>
  </si>
  <si>
    <t>Accessories Product 23</t>
  </si>
  <si>
    <t>ORD-1081</t>
  </si>
  <si>
    <t>Bookcases Product 14</t>
  </si>
  <si>
    <t>ORD-1082</t>
  </si>
  <si>
    <t>2021-07-19</t>
  </si>
  <si>
    <t>2021-07-21</t>
  </si>
  <si>
    <t>Bookcases Product 11</t>
  </si>
  <si>
    <t>ORD-1083</t>
  </si>
  <si>
    <t>2021-11-24</t>
  </si>
  <si>
    <t>Phones Product 11</t>
  </si>
  <si>
    <t>ORD-1084</t>
  </si>
  <si>
    <t>2021-11-12</t>
  </si>
  <si>
    <t>Paper Product 23</t>
  </si>
  <si>
    <t>ORD-1085</t>
  </si>
  <si>
    <t>2021-03-13</t>
  </si>
  <si>
    <t>2021-03-14</t>
  </si>
  <si>
    <t>Paper Product 5</t>
  </si>
  <si>
    <t>ORD-1086</t>
  </si>
  <si>
    <t>2021-09-11</t>
  </si>
  <si>
    <t>Tables Product 18</t>
  </si>
  <si>
    <t>ORD-1087</t>
  </si>
  <si>
    <t>2021-05-06</t>
  </si>
  <si>
    <t>Chairs Product 42</t>
  </si>
  <si>
    <t>ORD-1088</t>
  </si>
  <si>
    <t>2021-03-17</t>
  </si>
  <si>
    <t>Paper Product 37</t>
  </si>
  <si>
    <t>ORD-1089</t>
  </si>
  <si>
    <t>2021-05-28</t>
  </si>
  <si>
    <t>Storage Product 42</t>
  </si>
  <si>
    <t>ORD-1090</t>
  </si>
  <si>
    <t>2021-03-12</t>
  </si>
  <si>
    <t>Phones Product 9</t>
  </si>
  <si>
    <t>ORD-1091</t>
  </si>
  <si>
    <t>2021-04-29</t>
  </si>
  <si>
    <t>Binders Product 24</t>
  </si>
  <si>
    <t>ORD-1092</t>
  </si>
  <si>
    <t>2021-06-27</t>
  </si>
  <si>
    <t>2021-07-02</t>
  </si>
  <si>
    <t>Storage Product 14</t>
  </si>
  <si>
    <t>ORD-1093</t>
  </si>
  <si>
    <t>2021-04-02</t>
  </si>
  <si>
    <t>ORD-1094</t>
  </si>
  <si>
    <t>2021-12-29</t>
  </si>
  <si>
    <t>Binders Product 30</t>
  </si>
  <si>
    <t>ORD-1095</t>
  </si>
  <si>
    <t>Accessories Product 9</t>
  </si>
  <si>
    <t>ORD-1096</t>
  </si>
  <si>
    <t>2021-04-08</t>
  </si>
  <si>
    <t>Paper Product 25</t>
  </si>
  <si>
    <t>ORD-1097</t>
  </si>
  <si>
    <t>Chairs Product 47</t>
  </si>
  <si>
    <t>ORD-1098</t>
  </si>
  <si>
    <t>2021-07-03</t>
  </si>
  <si>
    <t>ORD-1099</t>
  </si>
  <si>
    <t>2021-07-09</t>
  </si>
  <si>
    <t>2021-07-11</t>
  </si>
  <si>
    <t>Phones Product 7</t>
  </si>
  <si>
    <t>ORD-1100</t>
  </si>
  <si>
    <t>Tables Product 50</t>
  </si>
  <si>
    <t>ORD-1101</t>
  </si>
  <si>
    <t>2021-06-06</t>
  </si>
  <si>
    <t>2021-06-10</t>
  </si>
  <si>
    <t>Phones Product 36</t>
  </si>
  <si>
    <t>ORD-1102</t>
  </si>
  <si>
    <t>2021-09-21</t>
  </si>
  <si>
    <t>Tables Product 21</t>
  </si>
  <si>
    <t>ORD-1103</t>
  </si>
  <si>
    <t>2021-04-13</t>
  </si>
  <si>
    <t>Binders Product 15</t>
  </si>
  <si>
    <t>ORD-1104</t>
  </si>
  <si>
    <t>2021-03-30</t>
  </si>
  <si>
    <t>2021-04-01</t>
  </si>
  <si>
    <t>Tables Product 43</t>
  </si>
  <si>
    <t>ORD-1105</t>
  </si>
  <si>
    <t>2021-03-28</t>
  </si>
  <si>
    <t>Laptops Product 9</t>
  </si>
  <si>
    <t>ORD-1106</t>
  </si>
  <si>
    <t>Accessories Product 38</t>
  </si>
  <si>
    <t>ORD-1107</t>
  </si>
  <si>
    <t>2021-09-26</t>
  </si>
  <si>
    <t>Chairs Product 21</t>
  </si>
  <si>
    <t>ORD-1108</t>
  </si>
  <si>
    <t>2021-10-28</t>
  </si>
  <si>
    <t>2021-10-30</t>
  </si>
  <si>
    <t>Paper Product 43</t>
  </si>
  <si>
    <t>ORD-1109</t>
  </si>
  <si>
    <t>2021-01-29</t>
  </si>
  <si>
    <t>ORD-1110</t>
  </si>
  <si>
    <t>2021-03-08</t>
  </si>
  <si>
    <t>ORD-1111</t>
  </si>
  <si>
    <t>2021-01-10</t>
  </si>
  <si>
    <t>2021-01-12</t>
  </si>
  <si>
    <t>ORD-1112</t>
  </si>
  <si>
    <t>2021-07-01</t>
  </si>
  <si>
    <t>2021-07-06</t>
  </si>
  <si>
    <t>Binders Product 23</t>
  </si>
  <si>
    <t>ORD-1113</t>
  </si>
  <si>
    <t>2021-06-14</t>
  </si>
  <si>
    <t>Tables Product 40</t>
  </si>
  <si>
    <t>ORD-1114</t>
  </si>
  <si>
    <t>Bookcases Product 29</t>
  </si>
  <si>
    <t>ORD-1115</t>
  </si>
  <si>
    <t>2021-08-26</t>
  </si>
  <si>
    <t>2021-08-30</t>
  </si>
  <si>
    <t>Binders Product 1</t>
  </si>
  <si>
    <t>ORD-1116</t>
  </si>
  <si>
    <t>2021-01-27</t>
  </si>
  <si>
    <t>Binders Product 28</t>
  </si>
  <si>
    <t>ORD-1117</t>
  </si>
  <si>
    <t>2021-01-24</t>
  </si>
  <si>
    <t>Paper Product 27</t>
  </si>
  <si>
    <t>ORD-1118</t>
  </si>
  <si>
    <t>2021-03-31</t>
  </si>
  <si>
    <t>Tables Product 41</t>
  </si>
  <si>
    <t>ORD-1119</t>
  </si>
  <si>
    <t>2021-12-22</t>
  </si>
  <si>
    <t>2021-12-25</t>
  </si>
  <si>
    <t>Chairs Product 23</t>
  </si>
  <si>
    <t>ORD-1120</t>
  </si>
  <si>
    <t>2021-10-01</t>
  </si>
  <si>
    <t>ORD-1121</t>
  </si>
  <si>
    <t>2021-02-16</t>
  </si>
  <si>
    <t>Storage Product 47</t>
  </si>
  <si>
    <t>ORD-1122</t>
  </si>
  <si>
    <t>2021-04-20</t>
  </si>
  <si>
    <t>2021-04-24</t>
  </si>
  <si>
    <t>Bookcases Product 37</t>
  </si>
  <si>
    <t>ORD-1123</t>
  </si>
  <si>
    <t>2021-07-15</t>
  </si>
  <si>
    <t>ORD-1124</t>
  </si>
  <si>
    <t>2021-07-30</t>
  </si>
  <si>
    <t>Laptops Product 5</t>
  </si>
  <si>
    <t>ORD-1125</t>
  </si>
  <si>
    <t>2021-08-12</t>
  </si>
  <si>
    <t>Paper Product 20</t>
  </si>
  <si>
    <t>ORD-1126</t>
  </si>
  <si>
    <t>2021-10-26</t>
  </si>
  <si>
    <t>2021-10-27</t>
  </si>
  <si>
    <t>Laptops Product 10</t>
  </si>
  <si>
    <t>ORD-1127</t>
  </si>
  <si>
    <t>2021-08-27</t>
  </si>
  <si>
    <t>ORD-1128</t>
  </si>
  <si>
    <t>2021-08-06</t>
  </si>
  <si>
    <t>Tables Product 11</t>
  </si>
  <si>
    <t>ORD-1129</t>
  </si>
  <si>
    <t>2021-05-15</t>
  </si>
  <si>
    <t>Chairs Product 27</t>
  </si>
  <si>
    <t>ORD-1130</t>
  </si>
  <si>
    <t>Tables Product 38</t>
  </si>
  <si>
    <t>ORD-1131</t>
  </si>
  <si>
    <t>2021-02-09</t>
  </si>
  <si>
    <t>Paper Product 24</t>
  </si>
  <si>
    <t>ORD-1132</t>
  </si>
  <si>
    <t>2021-10-06</t>
  </si>
  <si>
    <t>2021-10-07</t>
  </si>
  <si>
    <t>ORD-1133</t>
  </si>
  <si>
    <t>2021-03-09</t>
  </si>
  <si>
    <t>Paper Product 28</t>
  </si>
  <si>
    <t>ORD-1134</t>
  </si>
  <si>
    <t>2021-05-11</t>
  </si>
  <si>
    <t>ORD-1135</t>
  </si>
  <si>
    <t>2021-04-18</t>
  </si>
  <si>
    <t>Bookcases Product 42</t>
  </si>
  <si>
    <t>ORD-1136</t>
  </si>
  <si>
    <t>Accessories Product 18</t>
  </si>
  <si>
    <t>ORD-1137</t>
  </si>
  <si>
    <t>2021-07-10</t>
  </si>
  <si>
    <t>Bookcases Product 13</t>
  </si>
  <si>
    <t>ORD-1138</t>
  </si>
  <si>
    <t>2021-06-19</t>
  </si>
  <si>
    <t>Chairs Product 41</t>
  </si>
  <si>
    <t>ORD-1139</t>
  </si>
  <si>
    <t>2021-12-21</t>
  </si>
  <si>
    <t>2021-12-24</t>
  </si>
  <si>
    <t>ORD-1140</t>
  </si>
  <si>
    <t>ORD-1141</t>
  </si>
  <si>
    <t>2021-12-28</t>
  </si>
  <si>
    <t>2021-12-31</t>
  </si>
  <si>
    <t>Accessories Product 15</t>
  </si>
  <si>
    <t>ORD-1142</t>
  </si>
  <si>
    <t>2021-05-18</t>
  </si>
  <si>
    <t>2021-05-19</t>
  </si>
  <si>
    <t>Bookcases Product 33</t>
  </si>
  <si>
    <t>ORD-1143</t>
  </si>
  <si>
    <t>Chairs Product 37</t>
  </si>
  <si>
    <t>ORD-1144</t>
  </si>
  <si>
    <t>2021-10-25</t>
  </si>
  <si>
    <t>ORD-1145</t>
  </si>
  <si>
    <t>2021-06-22</t>
  </si>
  <si>
    <t>Storage Product 1</t>
  </si>
  <si>
    <t>ORD-1146</t>
  </si>
  <si>
    <t>2021-10-10</t>
  </si>
  <si>
    <t>2021-10-15</t>
  </si>
  <si>
    <t>Storage Product 10</t>
  </si>
  <si>
    <t>ORD-1147</t>
  </si>
  <si>
    <t>2021-01-30</t>
  </si>
  <si>
    <t>Accessories Product 36</t>
  </si>
  <si>
    <t>ORD-1148</t>
  </si>
  <si>
    <t>Storage Product 26</t>
  </si>
  <si>
    <t>ORD-1149</t>
  </si>
  <si>
    <t>Storage Product 22</t>
  </si>
  <si>
    <t>ORD-1150</t>
  </si>
  <si>
    <t>2021-04-27</t>
  </si>
  <si>
    <t>Accessories Product 42</t>
  </si>
  <si>
    <t>ORD-1151</t>
  </si>
  <si>
    <t>2021-05-02</t>
  </si>
  <si>
    <t>Phones Product 28</t>
  </si>
  <si>
    <t>ORD-1152</t>
  </si>
  <si>
    <t>Chairs Product 5</t>
  </si>
  <si>
    <t>ORD-1153</t>
  </si>
  <si>
    <t>2021-12-04</t>
  </si>
  <si>
    <t>Storage Product 38</t>
  </si>
  <si>
    <t>ORD-1154</t>
  </si>
  <si>
    <t>2021-08-16</t>
  </si>
  <si>
    <t>Phones Product 29</t>
  </si>
  <si>
    <t>ORD-1155</t>
  </si>
  <si>
    <t>2021-04-16</t>
  </si>
  <si>
    <t>ORD-1156</t>
  </si>
  <si>
    <t>2021-01-11</t>
  </si>
  <si>
    <t>Paper Product 10</t>
  </si>
  <si>
    <t>ORD-1157</t>
  </si>
  <si>
    <t>Bookcases Product 8</t>
  </si>
  <si>
    <t>ORD-1158</t>
  </si>
  <si>
    <t>Binders Product 26</t>
  </si>
  <si>
    <t>ORD-1159</t>
  </si>
  <si>
    <t>2021-10-22</t>
  </si>
  <si>
    <t>2021-10-23</t>
  </si>
  <si>
    <t>Chairs Product 39</t>
  </si>
  <si>
    <t>ORD-1160</t>
  </si>
  <si>
    <t>2021-01-02</t>
  </si>
  <si>
    <t>2021-01-03</t>
  </si>
  <si>
    <t>Storage Product 45</t>
  </si>
  <si>
    <t>ORD-1161</t>
  </si>
  <si>
    <t>2021-10-17</t>
  </si>
  <si>
    <t>2021-10-19</t>
  </si>
  <si>
    <t>ORD-1162</t>
  </si>
  <si>
    <t>2021-08-08</t>
  </si>
  <si>
    <t>Phones Product 17</t>
  </si>
  <si>
    <t>ORD-1163</t>
  </si>
  <si>
    <t>Storage Product 50</t>
  </si>
  <si>
    <t>ORD-1164</t>
  </si>
  <si>
    <t>2021-12-11</t>
  </si>
  <si>
    <t>2021-12-14</t>
  </si>
  <si>
    <t>Paper Product 45</t>
  </si>
  <si>
    <t>ORD-1165</t>
  </si>
  <si>
    <t>2021-03-22</t>
  </si>
  <si>
    <t>Phones Product 26</t>
  </si>
  <si>
    <t>ORD-1166</t>
  </si>
  <si>
    <t>Bookcases Product 3</t>
  </si>
  <si>
    <t>ORD-1167</t>
  </si>
  <si>
    <t>2021-02-13</t>
  </si>
  <si>
    <t>ORD-1168</t>
  </si>
  <si>
    <t>2021-07-26</t>
  </si>
  <si>
    <t>Binders Product 31</t>
  </si>
  <si>
    <t>ORD-1169</t>
  </si>
  <si>
    <t>2021-05-08</t>
  </si>
  <si>
    <t>ORD-1170</t>
  </si>
  <si>
    <t>Tables Product 46</t>
  </si>
  <si>
    <t>ORD-1171</t>
  </si>
  <si>
    <t>ORD-1172</t>
  </si>
  <si>
    <t>Laptops Product 47</t>
  </si>
  <si>
    <t>ORD-1173</t>
  </si>
  <si>
    <t>ORD-1174</t>
  </si>
  <si>
    <t>2021-04-04</t>
  </si>
  <si>
    <t>ORD-1175</t>
  </si>
  <si>
    <t>Laptops Product 13</t>
  </si>
  <si>
    <t>ORD-1176</t>
  </si>
  <si>
    <t>Laptops Product 23</t>
  </si>
  <si>
    <t>ORD-1177</t>
  </si>
  <si>
    <t>2022-01-01</t>
  </si>
  <si>
    <t>2022-01-05</t>
  </si>
  <si>
    <t>Chairs Product 17</t>
  </si>
  <si>
    <t>ORD-1178</t>
  </si>
  <si>
    <t>2021-04-05</t>
  </si>
  <si>
    <t>Paper Product 22</t>
  </si>
  <si>
    <t>ORD-1179</t>
  </si>
  <si>
    <t>ORD-1180</t>
  </si>
  <si>
    <t>2021-03-19</t>
  </si>
  <si>
    <t>2021-03-23</t>
  </si>
  <si>
    <t>ORD-1181</t>
  </si>
  <si>
    <t>2021-07-31</t>
  </si>
  <si>
    <t>2021-08-01</t>
  </si>
  <si>
    <t>Paper Product 41</t>
  </si>
  <si>
    <t>ORD-1182</t>
  </si>
  <si>
    <t>2021-04-19</t>
  </si>
  <si>
    <t>Tables Product 15</t>
  </si>
  <si>
    <t>ORD-1183</t>
  </si>
  <si>
    <t>2021-11-04</t>
  </si>
  <si>
    <t>ORD-1184</t>
  </si>
  <si>
    <t>ORD-1185</t>
  </si>
  <si>
    <t>2021-07-25</t>
  </si>
  <si>
    <t>2021-07-29</t>
  </si>
  <si>
    <t>ORD-1186</t>
  </si>
  <si>
    <t>2021-03-16</t>
  </si>
  <si>
    <t>ORD-1187</t>
  </si>
  <si>
    <t>ORD-1188</t>
  </si>
  <si>
    <t>Phones Product 27</t>
  </si>
  <si>
    <t>ORD-1189</t>
  </si>
  <si>
    <t>2021-05-16</t>
  </si>
  <si>
    <t>2021-05-21</t>
  </si>
  <si>
    <t>ORD-1190</t>
  </si>
  <si>
    <t>Accessories Product 3</t>
  </si>
  <si>
    <t>ORD-1191</t>
  </si>
  <si>
    <t>2021-05-05</t>
  </si>
  <si>
    <t>ORD-1192</t>
  </si>
  <si>
    <t>2021-02-23</t>
  </si>
  <si>
    <t>2021-02-27</t>
  </si>
  <si>
    <t>ORD-1193</t>
  </si>
  <si>
    <t>2021-04-23</t>
  </si>
  <si>
    <t>Binders Product 47</t>
  </si>
  <si>
    <t>ORD-1194</t>
  </si>
  <si>
    <t>2021-11-08</t>
  </si>
  <si>
    <t>ORD-1195</t>
  </si>
  <si>
    <t>2021-05-17</t>
  </si>
  <si>
    <t>2021-05-20</t>
  </si>
  <si>
    <t>ORD-1196</t>
  </si>
  <si>
    <t>2021-10-03</t>
  </si>
  <si>
    <t>Phones Product 4</t>
  </si>
  <si>
    <t>ORD-1197</t>
  </si>
  <si>
    <t>ORD-1198</t>
  </si>
  <si>
    <t>Chairs Product 4</t>
  </si>
  <si>
    <t>ORD-1199</t>
  </si>
  <si>
    <t>Laptops Product 28</t>
  </si>
  <si>
    <t>Shipping Days</t>
  </si>
  <si>
    <t>Year</t>
  </si>
  <si>
    <t>Month</t>
  </si>
  <si>
    <t>Row Labels</t>
  </si>
  <si>
    <t>(blank)</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</si>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</sst>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49"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[Superstore_Dataset_proj1.xlsx]Category Sales!PivotTable1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Sales'!$A$4:$A$7</c:f>
              <c:strCache>
                <c:ptCount val="3"/>
                <c:pt idx="0">
                  <c:v>Furniture</c:v>
                </c:pt>
                <c:pt idx="1">
                  <c:v>Office Supplies</c:v>
                </c:pt>
                <c:pt idx="2">
                  <c:v>Technology</c:v>
                </c:pt>
              </c:strCache>
            </c:strRef>
          </c:cat>
          <c:val>
            <c:numRef>
              <c:f>'Category Sales'!$B$4:$B$7</c:f>
              <c:numCache>
                <c:formatCode>General</c:formatCode>
                <c:ptCount val="3"/>
                <c:pt idx="0">
                  <c:v>21469.239999999998</c:v>
                </c:pt>
                <c:pt idx="1">
                  <c:v>17718.18</c:v>
                </c:pt>
                <c:pt idx="2">
                  <c:v>14142.040000000003</c:v>
                </c:pt>
              </c:numCache>
            </c:numRef>
          </c:val>
          <c:extLst>
            <c:ext xmlns:c16="http://schemas.microsoft.com/office/drawing/2014/chart" uri="{C3380CC4-5D6E-409C-BE32-E72D297353CC}">
              <c16:uniqueId val="{00000000-4D91-4EA1-956A-ADE275FDDD06}"/>
            </c:ext>
          </c:extLst>
        </c:ser>
        <c:dLbls>
          <c:showLegendKey val="0"/>
          <c:showVal val="0"/>
          <c:showCatName val="0"/>
          <c:showSerName val="0"/>
          <c:showPercent val="0"/>
          <c:showBubbleSize val="0"/>
        </c:dLbls>
        <c:gapWidth val="219"/>
        <c:overlap val="-27"/>
        <c:axId val="610330400"/>
        <c:axId val="610331360"/>
      </c:barChart>
      <c:catAx>
        <c:axId val="6103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1360"/>
        <c:crosses val="autoZero"/>
        <c:auto val="1"/>
        <c:lblAlgn val="ctr"/>
        <c:lblOffset val="100"/>
        <c:noMultiLvlLbl val="0"/>
      </c:catAx>
      <c:valAx>
        <c:axId val="61033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[Superstore_Dataset_proj1.xlsx]Monthly Sales!PivotTable4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cat>
            <c:strRef>
              <c:f>'Monthly Sales'!$A$4:$A$17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'Monthly Sales'!$B$4:$B$17</c:f>
              <c:numCache>
                <c:formatCode>General</c:formatCode>
                <c:ptCount val="13"/>
                <c:pt idx="0">
                  <c:v>24114.610000000004</c:v>
                </c:pt>
                <c:pt idx="1">
                  <c:v>11117.679999999998</c:v>
                </c:pt>
                <c:pt idx="2">
                  <c:v>12364.66</c:v>
                </c:pt>
                <c:pt idx="3">
                  <c:v>19369</c:v>
                </c:pt>
                <c:pt idx="4">
                  <c:v>12338.050000000001</c:v>
                </c:pt>
                <c:pt idx="5">
                  <c:v>15984.51</c:v>
                </c:pt>
                <c:pt idx="6">
                  <c:v>19925.280000000002</c:v>
                </c:pt>
                <c:pt idx="7">
                  <c:v>15631.899999999998</c:v>
                </c:pt>
                <c:pt idx="8">
                  <c:v>8781.82</c:v>
                </c:pt>
                <c:pt idx="9">
                  <c:v>18829.460000000003</c:v>
                </c:pt>
                <c:pt idx="10">
                  <c:v>18683.500000000004</c:v>
                </c:pt>
                <c:pt idx="11">
                  <c:v>14165.350000000002</c:v>
                </c:pt>
              </c:numCache>
            </c:numRef>
          </c:val>
          <c:extLst>
            <c:ext xmlns:c16="http://schemas.microsoft.com/office/drawing/2014/chart" uri="{C3380CC4-5D6E-409C-BE32-E72D297353CC}">
              <c16:uniqueId val="{00000000-43CA-4107-BA31-410D8E45C6E7}"/>
            </c:ext>
          </c:extLst>
        </c:ser>
        <c:dLbls>
          <c:showLegendKey val="0"/>
          <c:showVal val="0"/>
          <c:showCatName val="0"/>
          <c:showSerName val="0"/>
          <c:showPercent val="0"/>
          <c:showBubbleSize val="0"/>
        </c:dLbls>
        <c:gapWidth val="219"/>
        <c:overlap val="-27"/>
        <c:axId val="610341440"/>
        <c:axId val="610339040"/>
      </c:barChart>
      <c:catAx>
        <c:axId val="6103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9040"/>
        <c:crosses val="autoZero"/>
        <c:auto val="1"/>
        <c:lblAlgn val="ctr"/>
        <c:lblOffset val="100"/>
        <c:noMultiLvlLbl val="0"/>
      </c:catAx>
      <c:valAx>
        <c:axId val="61033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[Superstore_Dataset_proj1.xlsx]Subcategory Profit!PivotTable3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 Profit'!$B$3</c:f>
              <c:strCache>
                <c:ptCount val="1"/>
                <c:pt idx="0">
                  <c:v>Total</c:v>
                </c:pt>
              </c:strCache>
            </c:strRef>
          </c:tx>
          <c:spPr>
            <a:solidFill>
              <a:schemeClr val="accent1"/>
            </a:solidFill>
            <a:ln>
              <a:noFill/>
            </a:ln>
            <a:effectLst/>
          </c:spPr>
          <c:invertIfNegative val="0"/>
          <c:cat>
            <c:strRef>
              <c:f>'Subcategory Profit'!$A$4:$A$14</c:f>
              <c:strCache>
                <c:ptCount val="10"/>
                <c:pt idx="0">
                  <c:v>Accessories</c:v>
                </c:pt>
                <c:pt idx="1">
                  <c:v>Binders</c:v>
                </c:pt>
                <c:pt idx="2">
                  <c:v>Bookcases</c:v>
                </c:pt>
                <c:pt idx="3">
                  <c:v>Chairs</c:v>
                </c:pt>
                <c:pt idx="4">
                  <c:v>Laptops</c:v>
                </c:pt>
                <c:pt idx="5">
                  <c:v>Paper</c:v>
                </c:pt>
                <c:pt idx="6">
                  <c:v>Phones</c:v>
                </c:pt>
                <c:pt idx="7">
                  <c:v>Storage</c:v>
                </c:pt>
                <c:pt idx="8">
                  <c:v>Tables</c:v>
                </c:pt>
                <c:pt idx="9">
                  <c:v>(blank)</c:v>
                </c:pt>
              </c:strCache>
            </c:strRef>
          </c:cat>
          <c:val>
            <c:numRef>
              <c:f>'Subcategory Profit'!$B$4:$B$14</c:f>
              <c:numCache>
                <c:formatCode>General</c:formatCode>
                <c:ptCount val="10"/>
                <c:pt idx="0">
                  <c:v>2876.2400000000002</c:v>
                </c:pt>
                <c:pt idx="1">
                  <c:v>5227.7299999999996</c:v>
                </c:pt>
                <c:pt idx="2">
                  <c:v>5124.0099999999993</c:v>
                </c:pt>
                <c:pt idx="3">
                  <c:v>8084.3599999999988</c:v>
                </c:pt>
                <c:pt idx="4">
                  <c:v>4654.8999999999996</c:v>
                </c:pt>
                <c:pt idx="5">
                  <c:v>8228.1600000000017</c:v>
                </c:pt>
                <c:pt idx="6">
                  <c:v>4435.95</c:v>
                </c:pt>
                <c:pt idx="7">
                  <c:v>3078.57</c:v>
                </c:pt>
                <c:pt idx="8">
                  <c:v>5092.1299999999992</c:v>
                </c:pt>
              </c:numCache>
            </c:numRef>
          </c:val>
          <c:extLst>
            <c:ext xmlns:c16="http://schemas.microsoft.com/office/drawing/2014/chart" uri="{C3380CC4-5D6E-409C-BE32-E72D297353CC}">
              <c16:uniqueId val="{00000000-84E9-4B8F-A2EE-DA42993C7E2F}"/>
            </c:ext>
          </c:extLst>
        </c:ser>
        <c:dLbls>
          <c:showLegendKey val="0"/>
          <c:showVal val="0"/>
          <c:showCatName val="0"/>
          <c:showSerName val="0"/>
          <c:showPercent val="0"/>
          <c:showBubbleSize val="0"/>
        </c:dLbls>
        <c:gapWidth val="219"/>
        <c:overlap val="-27"/>
        <c:axId val="610323200"/>
        <c:axId val="610345280"/>
      </c:barChart>
      <c:catAx>
        <c:axId val="61032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5280"/>
        <c:crosses val="autoZero"/>
        <c:auto val="1"/>
        <c:lblAlgn val="ctr"/>
        <c:lblOffset val="100"/>
        <c:noMultiLvlLbl val="0"/>
      </c:catAx>
      <c:valAx>
        <c:axId val="61034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2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[Superstore_Dataset_proj1.xlsx]Region Sales!PivotTable2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Total</c:v>
                </c:pt>
              </c:strCache>
            </c:strRef>
          </c:tx>
          <c:spPr>
            <a:solidFill>
              <a:schemeClr val="accent1"/>
            </a:solidFill>
            <a:ln>
              <a:noFill/>
            </a:ln>
            <a:effectLst/>
          </c:spPr>
          <c:invertIfNegative val="0"/>
          <c:cat>
            <c:strRef>
              <c:f>'Region Sales'!$A$4:$A$9</c:f>
              <c:strCache>
                <c:ptCount val="5"/>
                <c:pt idx="0">
                  <c:v>East</c:v>
                </c:pt>
                <c:pt idx="1">
                  <c:v>North</c:v>
                </c:pt>
                <c:pt idx="2">
                  <c:v>South</c:v>
                </c:pt>
                <c:pt idx="3">
                  <c:v>West</c:v>
                </c:pt>
                <c:pt idx="4">
                  <c:v>(blank)</c:v>
                </c:pt>
              </c:strCache>
            </c:strRef>
          </c:cat>
          <c:val>
            <c:numRef>
              <c:f>'Region Sales'!$B$4:$B$9</c:f>
              <c:numCache>
                <c:formatCode>General</c:formatCode>
                <c:ptCount val="5"/>
                <c:pt idx="0">
                  <c:v>49442.62</c:v>
                </c:pt>
                <c:pt idx="1">
                  <c:v>54793.8</c:v>
                </c:pt>
                <c:pt idx="2">
                  <c:v>46802.090000000004</c:v>
                </c:pt>
                <c:pt idx="3">
                  <c:v>40267.310000000012</c:v>
                </c:pt>
              </c:numCache>
            </c:numRef>
          </c:val>
          <c:extLst>
            <c:ext xmlns:c16="http://schemas.microsoft.com/office/drawing/2014/chart" uri="{C3380CC4-5D6E-409C-BE32-E72D297353CC}">
              <c16:uniqueId val="{00000000-1F9C-4889-B0AD-E8BEBB6A97E1}"/>
            </c:ext>
          </c:extLst>
        </c:ser>
        <c:dLbls>
          <c:showLegendKey val="0"/>
          <c:showVal val="0"/>
          <c:showCatName val="0"/>
          <c:showSerName val="0"/>
          <c:showPercent val="0"/>
          <c:showBubbleSize val="0"/>
        </c:dLbls>
        <c:gapWidth val="219"/>
        <c:overlap val="-27"/>
        <c:axId val="610345280"/>
        <c:axId val="610349120"/>
      </c:barChart>
      <c:catAx>
        <c:axId val="61034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9120"/>
        <c:crosses val="autoZero"/>
        <c:auto val="1"/>
        <c:lblAlgn val="ctr"/>
        <c:lblOffset val="100"/>
        <c:noMultiLvlLbl val="0"/>
      </c:catAx>
      <c:valAx>
        <c:axId val="61034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133350</xdr:colOff>
      <xdr:row>11</xdr:row>
      <xdr:rowOff>139700</xdr:rowOff>
    </xdr:to>
    <xdr:graphicFrame macro="">
      <xdr:nvGraphicFramePr>
        <xdr:cNvPr id="3" name="Chart 2">
          <a:extLst>
            <a:ext uri="{FF2B5EF4-FFF2-40B4-BE49-F238E27FC236}">
              <a16:creationId xmlns:a16="http://schemas.microsoft.com/office/drawing/2014/main" id="{773CCA95-4A29-4FAE-DC5E-1B4351656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184150</xdr:colOff>
      <xdr:row>0</xdr:row>
      <xdr:rowOff>0</xdr:rowOff>
    </xdr:from>
    <xdr:to>
      <xdr:col>11</xdr:col>
      <xdr:colOff>419100</xdr:colOff>
      <xdr:row>11</xdr:row>
      <xdr:rowOff>63500</xdr:rowOff>
    </xdr:to>
    <xdr:graphicFrame macro="">
      <xdr:nvGraphicFramePr>
        <xdr:cNvPr id="4" name="Chart 1">
          <a:extLst>
            <a:ext uri="{FF2B5EF4-FFF2-40B4-BE49-F238E27FC236}">
              <a16:creationId xmlns:a16="http://schemas.microsoft.com/office/drawing/2014/main" id="{853538E5-DF0B-5C2D-3BA8-93EF87B5C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438150</xdr:colOff>
      <xdr:row>0</xdr:row>
      <xdr:rowOff>12700</xdr:rowOff>
    </xdr:from>
    <xdr:to>
      <xdr:col>18</xdr:col>
      <xdr:colOff>298450</xdr:colOff>
      <xdr:row>11</xdr:row>
      <xdr:rowOff>69850</xdr:rowOff>
    </xdr:to>
    <xdr:graphicFrame macro="">
      <xdr:nvGraphicFramePr>
        <xdr:cNvPr id="5" name="Chart 1">
          <a:extLst>
            <a:ext uri="{FF2B5EF4-FFF2-40B4-BE49-F238E27FC236}">
              <a16:creationId xmlns:a16="http://schemas.microsoft.com/office/drawing/2014/main" id="{D3EC8073-D2DB-C682-6E2D-F36256D7D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206375</xdr:colOff>
      <xdr:row>12</xdr:row>
      <xdr:rowOff>88900</xdr:rowOff>
    </xdr:from>
    <xdr:to>
      <xdr:col>8</xdr:col>
      <xdr:colOff>476250</xdr:colOff>
      <xdr:row>25</xdr:row>
      <xdr:rowOff>50800</xdr:rowOff>
    </xdr:to>
    <xdr:graphicFrame macro="">
      <xdr:nvGraphicFramePr>
        <xdr:cNvPr id="6" name="Chart 1">
          <a:extLst>
            <a:ext uri="{FF2B5EF4-FFF2-40B4-BE49-F238E27FC236}">
              <a16:creationId xmlns:a16="http://schemas.microsoft.com/office/drawing/2014/main" id="{F184E893-C925-5287-149C-F281F2D69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31750</xdr:colOff>
      <xdr:row>2</xdr:row>
      <xdr:rowOff>63500</xdr:rowOff>
    </xdr:from>
    <xdr:to>
      <xdr:col>10</xdr:col>
      <xdr:colOff>31750</xdr:colOff>
      <xdr:row>16</xdr:row>
      <xdr:rowOff>9525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DE5EEC8-89FE-7A01-1944-6E41E8EF2C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87900" y="43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203200</xdr:colOff>
      <xdr:row>2</xdr:row>
      <xdr:rowOff>101600</xdr:rowOff>
    </xdr:from>
    <xdr:to>
      <xdr:col>13</xdr:col>
      <xdr:colOff>203200</xdr:colOff>
      <xdr:row>16</xdr:row>
      <xdr:rowOff>47625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39C09C8-4704-266E-BD65-1E970DF68A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88150" y="469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482600</xdr:colOff>
      <xdr:row>2</xdr:row>
      <xdr:rowOff>95250</xdr:rowOff>
    </xdr:from>
    <xdr:to>
      <xdr:col>6</xdr:col>
      <xdr:colOff>482600</xdr:colOff>
      <xdr:row>16</xdr:row>
      <xdr:rowOff>41275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1E8E0A5-F8DE-FB66-2F18-4E67A727F2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00350" y="46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jaiswal" refreshedDate="46001.727979398151" createdVersion="8" refreshedVersion="8" minRefreshableVersion="3" recordCount="201" xr:uid="{3B7FB42A-9F41-418A-9DC4-AAFDCB4E6E96}">
  <cacheSource type="worksheet">
    <worksheetSource ref="A1:R1048576" sheet="Superstore"/>
  </cacheSource>
  <cacheFields count="18">
    <cacheField name="Order ID" numFmtId="0">
      <sharedItems containsBlank="1"/>
    </cacheField>
    <cacheField name="Order Date" numFmtId="2">
      <sharedItems containsBlank="1"/>
    </cacheField>
    <cacheField name="Ship Date" numFmtId="2">
      <sharedItems containsBlank="1"/>
    </cacheField>
    <cacheField name="Shipping Days" numFmtId="2">
      <sharedItems containsString="0" containsBlank="1" containsNumber="1" containsInteger="1" minValue="1" maxValue="5"/>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ount="5">
        <s v="North"/>
        <s v="South"/>
        <s v="East"/>
        <s v="West"/>
        <m/>
      </sharedItems>
    </cacheField>
    <cacheField name="Category" numFmtId="0">
      <sharedItems containsBlank="1" count="4">
        <s v="Technology"/>
        <s v="Furniture"/>
        <s v="Office Supplies"/>
        <m/>
      </sharedItems>
    </cacheField>
    <cacheField name="Sub-Category" numFmtId="0">
      <sharedItems containsBlank="1" count="10">
        <s v="Laptops"/>
        <s v="Tables"/>
        <s v="Accessories"/>
        <s v="Bookcases"/>
        <s v="Chairs"/>
        <s v="Paper"/>
        <s v="Storage"/>
        <s v="Binders"/>
        <s v="Phones"/>
        <m/>
      </sharedItems>
    </cacheField>
    <cacheField name="Product Name" numFmtId="0">
      <sharedItems containsBlank="1" count="160">
        <s v="Laptops Product 33"/>
        <s v="Tables Product 9"/>
        <s v="Accessories Product 46"/>
        <s v="Laptops Product 42"/>
        <s v="Bookcases Product 24"/>
        <s v="Chairs Product 36"/>
        <s v="Paper Product 3"/>
        <s v="Storage Product 23"/>
        <s v="Binders Product 44"/>
        <s v="Storage Product 8"/>
        <s v="Phones Product 46"/>
        <s v="Phones Product 14"/>
        <s v="Bookcases Product 26"/>
        <s v="Chairs Product 1"/>
        <s v="Chairs Product 31"/>
        <s v="Chairs Product 6"/>
        <s v="Binders Product 33"/>
        <s v="Accessories Product 29"/>
        <s v="Phones Product 6"/>
        <s v="Bookcases Product 7"/>
        <s v="Chairs Product 35"/>
        <s v="Chairs Product 3"/>
        <s v="Tables Product 2"/>
        <s v="Laptops Product 24"/>
        <s v="Storage Product 5"/>
        <s v="Paper Product 32"/>
        <s v="Binders Product 20"/>
        <s v="Binders Product 17"/>
        <s v="Bookcases Product 45"/>
        <s v="Chairs Product 14"/>
        <s v="Chairs Product 2"/>
        <s v="Laptops Product 49"/>
        <s v="Bookcases Product 17"/>
        <s v="Tables Product 4"/>
        <s v="Tables Product 28"/>
        <s v="Storage Product 15"/>
        <s v="Storage Product 32"/>
        <s v="Bookcases Product 46"/>
        <s v="Laptops Product 26"/>
        <s v="Tables Product 13"/>
        <s v="Tables Product 12"/>
        <s v="Chairs Product 28"/>
        <s v="Bookcases Product 9"/>
        <s v="Phones Product 30"/>
        <s v="Paper Product 14"/>
        <s v="Phones Product 45"/>
        <s v="Accessories Product 31"/>
        <s v="Tables Product 35"/>
        <s v="Bookcases Product 15"/>
        <s v="Paper Product 33"/>
        <s v="Chairs Product 34"/>
        <s v="Storage Product 19"/>
        <s v="Paper Product 39"/>
        <s v="Bookcases Product 19"/>
        <s v="Binders Product 4"/>
        <s v="Binders Product 13"/>
        <s v="Paper Product 21"/>
        <s v="Phones Product 12"/>
        <s v="Binders Product 12"/>
        <s v="Chairs Product 44"/>
        <s v="Storage Product 29"/>
        <s v="Paper Product 9"/>
        <s v="Binders Product 40"/>
        <s v="Chairs Product 16"/>
        <s v="Accessories Product 34"/>
        <s v="Chairs Product 46"/>
        <s v="Storage Product 36"/>
        <s v="Chairs Product 29"/>
        <s v="Accessories Product 13"/>
        <s v="Paper Product 2"/>
        <s v="Binders Product 27"/>
        <s v="Paper Product 50"/>
        <s v="Accessories Product 23"/>
        <s v="Bookcases Product 14"/>
        <s v="Bookcases Product 11"/>
        <s v="Phones Product 11"/>
        <s v="Paper Product 23"/>
        <s v="Paper Product 5"/>
        <s v="Tables Product 18"/>
        <s v="Chairs Product 42"/>
        <s v="Paper Product 37"/>
        <s v="Storage Product 42"/>
        <s v="Phones Product 9"/>
        <s v="Binders Product 24"/>
        <s v="Storage Product 14"/>
        <s v="Binders Product 30"/>
        <s v="Accessories Product 9"/>
        <s v="Paper Product 25"/>
        <s v="Chairs Product 47"/>
        <s v="Phones Product 7"/>
        <s v="Tables Product 50"/>
        <s v="Phones Product 36"/>
        <s v="Tables Product 21"/>
        <s v="Binders Product 15"/>
        <s v="Tables Product 43"/>
        <s v="Laptops Product 9"/>
        <s v="Accessories Product 38"/>
        <s v="Chairs Product 21"/>
        <s v="Paper Product 43"/>
        <s v="Binders Product 23"/>
        <s v="Tables Product 40"/>
        <s v="Bookcases Product 29"/>
        <s v="Binders Product 1"/>
        <s v="Binders Product 28"/>
        <s v="Paper Product 27"/>
        <s v="Tables Product 41"/>
        <s v="Chairs Product 23"/>
        <s v="Storage Product 47"/>
        <s v="Bookcases Product 37"/>
        <s v="Laptops Product 5"/>
        <s v="Paper Product 20"/>
        <s v="Laptops Product 10"/>
        <s v="Tables Product 11"/>
        <s v="Chairs Product 27"/>
        <s v="Tables Product 38"/>
        <s v="Paper Product 24"/>
        <s v="Paper Product 28"/>
        <s v="Bookcases Product 42"/>
        <s v="Accessories Product 18"/>
        <s v="Bookcases Product 13"/>
        <s v="Chairs Product 41"/>
        <s v="Accessories Product 15"/>
        <s v="Bookcases Product 33"/>
        <s v="Chairs Product 37"/>
        <s v="Storage Product 1"/>
        <s v="Storage Product 10"/>
        <s v="Accessories Product 36"/>
        <s v="Storage Product 26"/>
        <s v="Storage Product 22"/>
        <s v="Accessories Product 42"/>
        <s v="Phones Product 28"/>
        <s v="Chairs Product 5"/>
        <s v="Storage Product 38"/>
        <s v="Phones Product 29"/>
        <s v="Paper Product 10"/>
        <s v="Bookcases Product 8"/>
        <s v="Binders Product 26"/>
        <s v="Chairs Product 39"/>
        <s v="Storage Product 45"/>
        <s v="Phones Product 17"/>
        <s v="Storage Product 50"/>
        <s v="Paper Product 45"/>
        <s v="Phones Product 26"/>
        <s v="Bookcases Product 3"/>
        <s v="Binders Product 31"/>
        <s v="Tables Product 46"/>
        <s v="Laptops Product 47"/>
        <s v="Laptops Product 13"/>
        <s v="Laptops Product 23"/>
        <s v="Chairs Product 17"/>
        <s v="Paper Product 22"/>
        <s v="Paper Product 41"/>
        <s v="Tables Product 15"/>
        <s v="Phones Product 27"/>
        <s v="Accessories Product 3"/>
        <s v="Binders Product 47"/>
        <s v="Phones Product 4"/>
        <s v="Chairs Product 4"/>
        <s v="Laptops Product 28"/>
        <m/>
      </sharedItems>
    </cacheField>
    <cacheField name="Sales" numFmtId="0">
      <sharedItems containsString="0" containsBlank="1" containsNumber="1" minValue="51.51" maxValue="1979.3"/>
    </cacheField>
    <cacheField name="Quantity" numFmtId="0">
      <sharedItems containsString="0" containsBlank="1" containsNumber="1" containsInteger="1" minValue="1" maxValue="10"/>
    </cacheField>
    <cacheField name="Profit" numFmtId="0">
      <sharedItems containsString="0" containsBlank="1" containsNumber="1" minValue="-181.81" maxValue="698.95"/>
    </cacheField>
    <cacheField name="Year" numFmtId="0">
      <sharedItems containsString="0" containsBlank="1" containsNumber="1" containsInteger="1" minValue="2021" maxValue="2022" count="3">
        <n v="2021"/>
        <n v="2022"/>
        <m/>
      </sharedItems>
    </cacheField>
    <cacheField name="Month" numFmtId="0">
      <sharedItems containsBlank="1" count="13">
        <s v="Dec"/>
        <s v="May"/>
        <s v="Mar"/>
        <s v="Sep"/>
        <s v="Oct"/>
        <s v="Nov"/>
        <s v="Jan"/>
        <s v="Aug"/>
        <s v="Feb"/>
        <s v="Apr"/>
        <s v="Jul"/>
        <s v="Jun"/>
        <m/>
      </sharedItems>
    </cacheField>
  </cacheFields>
  <extLst>
    <ext xmlns:x14="http://schemas.microsoft.com/office/spreadsheetml/2009/9/main" uri="{725AE2AE-9491-48be-B2B4-4EB974FC3084}">
      <x14:pivotCacheDefinition pivotCacheId="676441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ORD-1000"/>
    <s v="2021-12-15"/>
    <s v="2021-12-19"/>
    <n v="4"/>
    <s v="Aarav Sharma"/>
    <s v="Consumer"/>
    <s v="India"/>
    <s v="Bengaluru"/>
    <s v="Karnataka"/>
    <x v="0"/>
    <x v="0"/>
    <x v="0"/>
    <x v="0"/>
    <n v="266.98"/>
    <n v="9"/>
    <n v="171.58"/>
    <x v="0"/>
    <x v="0"/>
  </r>
  <r>
    <s v="ORD-1001"/>
    <s v="2021-05-01"/>
    <s v="2021-05-03"/>
    <n v="2"/>
    <s v="Karan Verma"/>
    <s v="Corporate"/>
    <s v="India"/>
    <s v="Bengaluru"/>
    <s v="Karnataka"/>
    <x v="0"/>
    <x v="1"/>
    <x v="1"/>
    <x v="1"/>
    <n v="153.85"/>
    <n v="1"/>
    <n v="391.67"/>
    <x v="0"/>
    <x v="1"/>
  </r>
  <r>
    <s v="ORD-1002"/>
    <s v="2021-03-26"/>
    <s v="2021-03-29"/>
    <n v="3"/>
    <s v="Riya Patel"/>
    <s v="Consumer"/>
    <s v="India"/>
    <s v="Kolkata"/>
    <s v="West Bengal"/>
    <x v="1"/>
    <x v="0"/>
    <x v="2"/>
    <x v="2"/>
    <n v="76.81"/>
    <n v="3"/>
    <n v="-46.97"/>
    <x v="0"/>
    <x v="2"/>
  </r>
  <r>
    <s v="ORD-1003"/>
    <s v="2021-09-14"/>
    <s v="2021-09-15"/>
    <n v="1"/>
    <s v="Karan Verma"/>
    <s v="Corporate"/>
    <s v="India"/>
    <s v="Chennai"/>
    <s v="Tamil Nadu"/>
    <x v="1"/>
    <x v="0"/>
    <x v="0"/>
    <x v="3"/>
    <n v="331.94"/>
    <n v="2"/>
    <n v="-170.61"/>
    <x v="0"/>
    <x v="3"/>
  </r>
  <r>
    <s v="ORD-1004"/>
    <s v="2021-10-31"/>
    <s v="2021-11-02"/>
    <n v="2"/>
    <s v="Karan Verma"/>
    <s v="Consumer"/>
    <s v="India"/>
    <s v="Mumbai"/>
    <s v="Maharashtra"/>
    <x v="1"/>
    <x v="1"/>
    <x v="3"/>
    <x v="4"/>
    <n v="1192"/>
    <n v="10"/>
    <n v="216.75"/>
    <x v="0"/>
    <x v="4"/>
  </r>
  <r>
    <s v="ORD-1005"/>
    <s v="2021-11-15"/>
    <s v="2021-11-16"/>
    <n v="1"/>
    <s v="Meera Singh"/>
    <s v="Consumer"/>
    <s v="India"/>
    <s v="Bengaluru"/>
    <s v="Karnataka"/>
    <x v="0"/>
    <x v="1"/>
    <x v="4"/>
    <x v="5"/>
    <n v="653.85"/>
    <n v="7"/>
    <n v="518.01"/>
    <x v="0"/>
    <x v="5"/>
  </r>
  <r>
    <s v="ORD-1006"/>
    <s v="2021-01-18"/>
    <s v="2021-01-19"/>
    <n v="1"/>
    <s v="Meera Singh"/>
    <s v="Consumer"/>
    <s v="India"/>
    <s v="Mumbai"/>
    <s v="Maharashtra"/>
    <x v="0"/>
    <x v="2"/>
    <x v="5"/>
    <x v="6"/>
    <n v="116.31"/>
    <n v="6"/>
    <n v="479.93"/>
    <x v="0"/>
    <x v="6"/>
  </r>
  <r>
    <s v="ORD-1007"/>
    <s v="2021-08-19"/>
    <s v="2021-08-24"/>
    <n v="5"/>
    <s v="Meera Singh"/>
    <s v="Home Office"/>
    <s v="India"/>
    <s v="Kolkata"/>
    <s v="West Bengal"/>
    <x v="2"/>
    <x v="2"/>
    <x v="6"/>
    <x v="7"/>
    <n v="430.56"/>
    <n v="10"/>
    <n v="222.83"/>
    <x v="0"/>
    <x v="7"/>
  </r>
  <r>
    <s v="ORD-1008"/>
    <s v="2021-08-10"/>
    <s v="2021-08-11"/>
    <n v="1"/>
    <s v="Riya Patel"/>
    <s v="Consumer"/>
    <s v="India"/>
    <s v="Mumbai"/>
    <s v="Maharashtra"/>
    <x v="3"/>
    <x v="2"/>
    <x v="7"/>
    <x v="8"/>
    <n v="365.96"/>
    <n v="2"/>
    <n v="-181.81"/>
    <x v="0"/>
    <x v="7"/>
  </r>
  <r>
    <s v="ORD-1009"/>
    <s v="2021-01-14"/>
    <s v="2021-01-17"/>
    <n v="3"/>
    <s v="Aarav Sharma"/>
    <s v="Home Office"/>
    <s v="India"/>
    <s v="Delhi"/>
    <s v="Delhi"/>
    <x v="2"/>
    <x v="2"/>
    <x v="6"/>
    <x v="9"/>
    <n v="1475.09"/>
    <n v="3"/>
    <n v="-13.47"/>
    <x v="0"/>
    <x v="6"/>
  </r>
  <r>
    <s v="ORD-1010"/>
    <s v="2021-02-21"/>
    <s v="2021-02-24"/>
    <n v="3"/>
    <s v="Aarav Sharma"/>
    <s v="Consumer"/>
    <s v="India"/>
    <s v="Mumbai"/>
    <s v="Maharashtra"/>
    <x v="1"/>
    <x v="0"/>
    <x v="8"/>
    <x v="10"/>
    <n v="1198.52"/>
    <n v="9"/>
    <n v="400.13"/>
    <x v="0"/>
    <x v="8"/>
  </r>
  <r>
    <s v="ORD-1011"/>
    <s v="2021-11-30"/>
    <s v="2021-12-05"/>
    <n v="5"/>
    <s v="Aarav Sharma"/>
    <s v="Consumer"/>
    <s v="India"/>
    <s v="Chennai"/>
    <s v="Tamil Nadu"/>
    <x v="2"/>
    <x v="0"/>
    <x v="8"/>
    <x v="11"/>
    <n v="465.44"/>
    <n v="7"/>
    <n v="-5.56"/>
    <x v="0"/>
    <x v="5"/>
  </r>
  <r>
    <s v="ORD-1012"/>
    <s v="2021-05-09"/>
    <s v="2021-05-13"/>
    <n v="4"/>
    <s v="Karan Verma"/>
    <s v="Consumer"/>
    <s v="India"/>
    <s v="Bengaluru"/>
    <s v="Karnataka"/>
    <x v="1"/>
    <x v="1"/>
    <x v="3"/>
    <x v="12"/>
    <n v="693.87"/>
    <n v="1"/>
    <n v="-163.68"/>
    <x v="0"/>
    <x v="1"/>
  </r>
  <r>
    <s v="ORD-1013"/>
    <s v="2021-04-03"/>
    <s v="2021-04-06"/>
    <n v="3"/>
    <s v="Riya Patel"/>
    <s v="Home Office"/>
    <s v="India"/>
    <s v="Bengaluru"/>
    <s v="Karnataka"/>
    <x v="1"/>
    <x v="1"/>
    <x v="4"/>
    <x v="13"/>
    <n v="291.81"/>
    <n v="5"/>
    <n v="40.79"/>
    <x v="0"/>
    <x v="9"/>
  </r>
  <r>
    <s v="ORD-1014"/>
    <s v="2021-05-07"/>
    <s v="2021-05-12"/>
    <n v="5"/>
    <s v="Aarav Sharma"/>
    <s v="Corporate"/>
    <s v="India"/>
    <s v="Delhi"/>
    <s v="Delhi"/>
    <x v="2"/>
    <x v="1"/>
    <x v="4"/>
    <x v="14"/>
    <n v="1556.22"/>
    <n v="7"/>
    <n v="594.09"/>
    <x v="0"/>
    <x v="1"/>
  </r>
  <r>
    <s v="ORD-1015"/>
    <s v="2021-08-20"/>
    <s v="2021-08-23"/>
    <n v="3"/>
    <s v="Aarav Sharma"/>
    <s v="Home Office"/>
    <s v="India"/>
    <s v="Bengaluru"/>
    <s v="Karnataka"/>
    <x v="1"/>
    <x v="1"/>
    <x v="4"/>
    <x v="15"/>
    <n v="846.26"/>
    <n v="8"/>
    <n v="189.9"/>
    <x v="0"/>
    <x v="7"/>
  </r>
  <r>
    <s v="ORD-1016"/>
    <s v="2021-04-10"/>
    <s v="2021-04-12"/>
    <n v="2"/>
    <s v="Arjun Mehta"/>
    <s v="Consumer"/>
    <s v="India"/>
    <s v="Kolkata"/>
    <s v="West Bengal"/>
    <x v="2"/>
    <x v="2"/>
    <x v="7"/>
    <x v="16"/>
    <n v="898.07"/>
    <n v="1"/>
    <n v="686.63"/>
    <x v="0"/>
    <x v="9"/>
  </r>
  <r>
    <s v="ORD-1017"/>
    <s v="2021-09-27"/>
    <s v="2021-09-28"/>
    <n v="1"/>
    <s v="Arjun Mehta"/>
    <s v="Home Office"/>
    <s v="India"/>
    <s v="Chennai"/>
    <s v="Tamil Nadu"/>
    <x v="1"/>
    <x v="0"/>
    <x v="2"/>
    <x v="17"/>
    <n v="185.1"/>
    <n v="10"/>
    <n v="557.37"/>
    <x v="0"/>
    <x v="3"/>
  </r>
  <r>
    <s v="ORD-1018"/>
    <s v="2021-05-24"/>
    <s v="2021-05-26"/>
    <n v="2"/>
    <s v="Riya Patel"/>
    <s v="Home Office"/>
    <s v="India"/>
    <s v="Bengaluru"/>
    <s v="Karnataka"/>
    <x v="2"/>
    <x v="0"/>
    <x v="8"/>
    <x v="18"/>
    <n v="407.81"/>
    <n v="10"/>
    <n v="72.53"/>
    <x v="0"/>
    <x v="1"/>
  </r>
  <r>
    <s v="ORD-1019"/>
    <s v="2021-04-14"/>
    <s v="2021-04-17"/>
    <n v="3"/>
    <s v="Aarav Sharma"/>
    <s v="Consumer"/>
    <s v="India"/>
    <s v="Chennai"/>
    <s v="Tamil Nadu"/>
    <x v="1"/>
    <x v="1"/>
    <x v="3"/>
    <x v="19"/>
    <n v="680.56"/>
    <n v="9"/>
    <n v="339.31"/>
    <x v="0"/>
    <x v="9"/>
  </r>
  <r>
    <s v="ORD-1020"/>
    <s v="2021-07-12"/>
    <s v="2021-07-17"/>
    <n v="5"/>
    <s v="Aarav Sharma"/>
    <s v="Home Office"/>
    <s v="India"/>
    <s v="Chennai"/>
    <s v="Tamil Nadu"/>
    <x v="1"/>
    <x v="1"/>
    <x v="4"/>
    <x v="20"/>
    <n v="1697.34"/>
    <n v="3"/>
    <n v="284.49"/>
    <x v="0"/>
    <x v="10"/>
  </r>
  <r>
    <s v="ORD-1021"/>
    <s v="2021-08-15"/>
    <s v="2021-08-17"/>
    <n v="2"/>
    <s v="Meera Singh"/>
    <s v="Corporate"/>
    <s v="India"/>
    <s v="Kolkata"/>
    <s v="West Bengal"/>
    <x v="3"/>
    <x v="1"/>
    <x v="4"/>
    <x v="21"/>
    <n v="1936.44"/>
    <n v="9"/>
    <n v="495.98"/>
    <x v="0"/>
    <x v="7"/>
  </r>
  <r>
    <s v="ORD-1022"/>
    <s v="2021-06-08"/>
    <s v="2021-06-12"/>
    <n v="4"/>
    <s v="Aarav Sharma"/>
    <s v="Home Office"/>
    <s v="India"/>
    <s v="Bengaluru"/>
    <s v="Karnataka"/>
    <x v="0"/>
    <x v="1"/>
    <x v="1"/>
    <x v="22"/>
    <n v="994.95"/>
    <n v="6"/>
    <n v="134.91999999999999"/>
    <x v="0"/>
    <x v="11"/>
  </r>
  <r>
    <s v="ORD-1023"/>
    <s v="2021-06-18"/>
    <s v="2021-06-20"/>
    <n v="2"/>
    <s v="Aarav Sharma"/>
    <s v="Consumer"/>
    <s v="India"/>
    <s v="Chennai"/>
    <s v="Tamil Nadu"/>
    <x v="1"/>
    <x v="0"/>
    <x v="0"/>
    <x v="23"/>
    <n v="1860.33"/>
    <n v="3"/>
    <n v="525.73"/>
    <x v="0"/>
    <x v="11"/>
  </r>
  <r>
    <s v="ORD-1024"/>
    <s v="2021-03-11"/>
    <s v="2021-03-15"/>
    <n v="4"/>
    <s v="Karan Verma"/>
    <s v="Home Office"/>
    <s v="India"/>
    <s v="Delhi"/>
    <s v="Delhi"/>
    <x v="2"/>
    <x v="2"/>
    <x v="6"/>
    <x v="24"/>
    <n v="143.16999999999999"/>
    <n v="2"/>
    <n v="-153.41"/>
    <x v="0"/>
    <x v="2"/>
  </r>
  <r>
    <s v="ORD-1025"/>
    <s v="2021-01-31"/>
    <s v="2021-02-01"/>
    <n v="1"/>
    <s v="Meera Singh"/>
    <s v="Home Office"/>
    <s v="India"/>
    <s v="Chennai"/>
    <s v="Tamil Nadu"/>
    <x v="3"/>
    <x v="0"/>
    <x v="0"/>
    <x v="23"/>
    <n v="1689.84"/>
    <n v="4"/>
    <n v="369.32"/>
    <x v="0"/>
    <x v="6"/>
  </r>
  <r>
    <s v="ORD-1026"/>
    <s v="2021-12-23"/>
    <s v="2021-12-27"/>
    <n v="4"/>
    <s v="Karan Verma"/>
    <s v="Corporate"/>
    <s v="India"/>
    <s v="Mumbai"/>
    <s v="Maharashtra"/>
    <x v="3"/>
    <x v="2"/>
    <x v="5"/>
    <x v="25"/>
    <n v="847.7"/>
    <n v="7"/>
    <n v="644.72"/>
    <x v="0"/>
    <x v="0"/>
  </r>
  <r>
    <s v="ORD-1027"/>
    <s v="2021-09-15"/>
    <s v="2021-09-20"/>
    <n v="5"/>
    <s v="Karan Verma"/>
    <s v="Consumer"/>
    <s v="India"/>
    <s v="Bengaluru"/>
    <s v="Karnataka"/>
    <x v="2"/>
    <x v="2"/>
    <x v="7"/>
    <x v="26"/>
    <n v="436.87"/>
    <n v="9"/>
    <n v="-124.79"/>
    <x v="0"/>
    <x v="3"/>
  </r>
  <r>
    <s v="ORD-1028"/>
    <s v="2021-06-17"/>
    <s v="2021-06-18"/>
    <n v="1"/>
    <s v="Riya Patel"/>
    <s v="Consumer"/>
    <s v="India"/>
    <s v="Mumbai"/>
    <s v="Maharashtra"/>
    <x v="1"/>
    <x v="2"/>
    <x v="7"/>
    <x v="27"/>
    <n v="1325.46"/>
    <n v="9"/>
    <n v="436"/>
    <x v="0"/>
    <x v="11"/>
  </r>
  <r>
    <s v="ORD-1029"/>
    <s v="2021-11-14"/>
    <s v="2021-11-19"/>
    <n v="5"/>
    <s v="Karan Verma"/>
    <s v="Corporate"/>
    <s v="India"/>
    <s v="Mumbai"/>
    <s v="Maharashtra"/>
    <x v="0"/>
    <x v="1"/>
    <x v="3"/>
    <x v="28"/>
    <n v="1112.52"/>
    <n v="8"/>
    <n v="653.75"/>
    <x v="0"/>
    <x v="5"/>
  </r>
  <r>
    <s v="ORD-1030"/>
    <s v="2021-10-12"/>
    <s v="2021-10-13"/>
    <n v="1"/>
    <s v="Arjun Mehta"/>
    <s v="Consumer"/>
    <s v="India"/>
    <s v="Kolkata"/>
    <s v="West Bengal"/>
    <x v="2"/>
    <x v="1"/>
    <x v="4"/>
    <x v="29"/>
    <n v="1715.19"/>
    <n v="10"/>
    <n v="436.05"/>
    <x v="0"/>
    <x v="4"/>
  </r>
  <r>
    <s v="ORD-1031"/>
    <s v="2021-11-17"/>
    <s v="2021-11-22"/>
    <n v="5"/>
    <s v="Riya Patel"/>
    <s v="Consumer"/>
    <s v="India"/>
    <s v="Bengaluru"/>
    <s v="Karnataka"/>
    <x v="0"/>
    <x v="1"/>
    <x v="4"/>
    <x v="30"/>
    <n v="1846.53"/>
    <n v="9"/>
    <n v="545.28"/>
    <x v="0"/>
    <x v="5"/>
  </r>
  <r>
    <s v="ORD-1032"/>
    <s v="2021-03-18"/>
    <s v="2021-03-21"/>
    <n v="3"/>
    <s v="Karan Verma"/>
    <s v="Consumer"/>
    <s v="India"/>
    <s v="Chennai"/>
    <s v="Tamil Nadu"/>
    <x v="0"/>
    <x v="0"/>
    <x v="0"/>
    <x v="31"/>
    <n v="241.3"/>
    <n v="8"/>
    <n v="380.23"/>
    <x v="0"/>
    <x v="2"/>
  </r>
  <r>
    <s v="ORD-1033"/>
    <s v="2021-04-10"/>
    <s v="2021-04-14"/>
    <n v="4"/>
    <s v="Karan Verma"/>
    <s v="Corporate"/>
    <s v="India"/>
    <s v="Chennai"/>
    <s v="Tamil Nadu"/>
    <x v="1"/>
    <x v="1"/>
    <x v="3"/>
    <x v="32"/>
    <n v="1762.19"/>
    <n v="1"/>
    <n v="658.6"/>
    <x v="0"/>
    <x v="9"/>
  </r>
  <r>
    <s v="ORD-1034"/>
    <s v="2021-01-28"/>
    <s v="2021-02-02"/>
    <n v="5"/>
    <s v="Karan Verma"/>
    <s v="Consumer"/>
    <s v="India"/>
    <s v="Delhi"/>
    <s v="Delhi"/>
    <x v="2"/>
    <x v="1"/>
    <x v="1"/>
    <x v="33"/>
    <n v="1021.35"/>
    <n v="4"/>
    <n v="1.33"/>
    <x v="0"/>
    <x v="6"/>
  </r>
  <r>
    <s v="ORD-1035"/>
    <s v="2021-06-23"/>
    <s v="2021-06-25"/>
    <n v="2"/>
    <s v="Arjun Mehta"/>
    <s v="Consumer"/>
    <s v="India"/>
    <s v="Delhi"/>
    <s v="Delhi"/>
    <x v="2"/>
    <x v="1"/>
    <x v="1"/>
    <x v="34"/>
    <n v="96.1"/>
    <n v="2"/>
    <n v="220.15"/>
    <x v="0"/>
    <x v="11"/>
  </r>
  <r>
    <s v="ORD-1036"/>
    <s v="2021-04-14"/>
    <s v="2021-04-15"/>
    <n v="1"/>
    <s v="Riya Patel"/>
    <s v="Corporate"/>
    <s v="India"/>
    <s v="Bengaluru"/>
    <s v="Karnataka"/>
    <x v="3"/>
    <x v="2"/>
    <x v="6"/>
    <x v="35"/>
    <n v="488.34"/>
    <n v="2"/>
    <n v="-23.66"/>
    <x v="0"/>
    <x v="9"/>
  </r>
  <r>
    <s v="ORD-1037"/>
    <s v="2021-08-05"/>
    <s v="2021-08-10"/>
    <n v="5"/>
    <s v="Aarav Sharma"/>
    <s v="Home Office"/>
    <s v="India"/>
    <s v="Mumbai"/>
    <s v="Maharashtra"/>
    <x v="2"/>
    <x v="2"/>
    <x v="6"/>
    <x v="36"/>
    <n v="734.39"/>
    <n v="9"/>
    <n v="-79.42"/>
    <x v="0"/>
    <x v="7"/>
  </r>
  <r>
    <s v="ORD-1038"/>
    <s v="2021-07-13"/>
    <s v="2021-07-14"/>
    <n v="1"/>
    <s v="Karan Verma"/>
    <s v="Home Office"/>
    <s v="India"/>
    <s v="Chennai"/>
    <s v="Tamil Nadu"/>
    <x v="2"/>
    <x v="1"/>
    <x v="3"/>
    <x v="37"/>
    <n v="802.71"/>
    <n v="9"/>
    <n v="-165.45"/>
    <x v="0"/>
    <x v="10"/>
  </r>
  <r>
    <s v="ORD-1039"/>
    <s v="2021-06-08"/>
    <s v="2021-06-13"/>
    <n v="5"/>
    <s v="Karan Verma"/>
    <s v="Home Office"/>
    <s v="India"/>
    <s v="Kolkata"/>
    <s v="West Bengal"/>
    <x v="3"/>
    <x v="0"/>
    <x v="0"/>
    <x v="38"/>
    <n v="106.19"/>
    <n v="7"/>
    <n v="260.77999999999997"/>
    <x v="0"/>
    <x v="11"/>
  </r>
  <r>
    <s v="ORD-1040"/>
    <s v="2021-01-01"/>
    <s v="2021-01-05"/>
    <n v="4"/>
    <s v="Meera Singh"/>
    <s v="Home Office"/>
    <s v="India"/>
    <s v="Mumbai"/>
    <s v="Maharashtra"/>
    <x v="0"/>
    <x v="1"/>
    <x v="1"/>
    <x v="39"/>
    <n v="1067.8"/>
    <n v="6"/>
    <n v="164.36"/>
    <x v="0"/>
    <x v="6"/>
  </r>
  <r>
    <s v="ORD-1041"/>
    <s v="2021-11-20"/>
    <s v="2021-11-21"/>
    <n v="1"/>
    <s v="Karan Verma"/>
    <s v="Home Office"/>
    <s v="India"/>
    <s v="Chennai"/>
    <s v="Tamil Nadu"/>
    <x v="1"/>
    <x v="1"/>
    <x v="1"/>
    <x v="40"/>
    <n v="438.38"/>
    <n v="2"/>
    <n v="478.6"/>
    <x v="0"/>
    <x v="5"/>
  </r>
  <r>
    <s v="ORD-1042"/>
    <s v="2021-08-21"/>
    <s v="2021-08-25"/>
    <n v="4"/>
    <s v="Arjun Mehta"/>
    <s v="Home Office"/>
    <s v="India"/>
    <s v="Delhi"/>
    <s v="Delhi"/>
    <x v="3"/>
    <x v="1"/>
    <x v="4"/>
    <x v="41"/>
    <n v="140.83000000000001"/>
    <n v="8"/>
    <n v="-3.16"/>
    <x v="0"/>
    <x v="7"/>
  </r>
  <r>
    <s v="ORD-1043"/>
    <s v="2021-11-14"/>
    <s v="2021-11-18"/>
    <n v="4"/>
    <s v="Arjun Mehta"/>
    <s v="Consumer"/>
    <s v="India"/>
    <s v="Kolkata"/>
    <s v="West Bengal"/>
    <x v="2"/>
    <x v="1"/>
    <x v="3"/>
    <x v="42"/>
    <n v="1639.97"/>
    <n v="4"/>
    <n v="83.84"/>
    <x v="0"/>
    <x v="5"/>
  </r>
  <r>
    <s v="ORD-1044"/>
    <s v="2021-10-20"/>
    <s v="2021-10-21"/>
    <n v="1"/>
    <s v="Arjun Mehta"/>
    <s v="Consumer"/>
    <s v="India"/>
    <s v="Delhi"/>
    <s v="Delhi"/>
    <x v="2"/>
    <x v="0"/>
    <x v="8"/>
    <x v="43"/>
    <n v="182.89"/>
    <n v="7"/>
    <n v="150.38"/>
    <x v="0"/>
    <x v="4"/>
  </r>
  <r>
    <s v="ORD-1045"/>
    <s v="2021-09-08"/>
    <s v="2021-09-10"/>
    <n v="2"/>
    <s v="Karan Verma"/>
    <s v="Corporate"/>
    <s v="India"/>
    <s v="Bengaluru"/>
    <s v="Karnataka"/>
    <x v="0"/>
    <x v="2"/>
    <x v="6"/>
    <x v="9"/>
    <n v="307.18"/>
    <n v="1"/>
    <n v="4.1399999999999997"/>
    <x v="0"/>
    <x v="3"/>
  </r>
  <r>
    <s v="ORD-1046"/>
    <s v="2021-10-21"/>
    <s v="2021-10-24"/>
    <n v="3"/>
    <s v="Aarav Sharma"/>
    <s v="Corporate"/>
    <s v="India"/>
    <s v="Chennai"/>
    <s v="Tamil Nadu"/>
    <x v="0"/>
    <x v="0"/>
    <x v="0"/>
    <x v="3"/>
    <n v="1282.77"/>
    <n v="10"/>
    <n v="510.22"/>
    <x v="0"/>
    <x v="4"/>
  </r>
  <r>
    <s v="ORD-1047"/>
    <s v="2021-02-08"/>
    <s v="2021-02-10"/>
    <n v="2"/>
    <s v="Riya Patel"/>
    <s v="Corporate"/>
    <s v="India"/>
    <s v="Delhi"/>
    <s v="Delhi"/>
    <x v="2"/>
    <x v="2"/>
    <x v="5"/>
    <x v="44"/>
    <n v="1086.3"/>
    <n v="8"/>
    <n v="59.09"/>
    <x v="0"/>
    <x v="8"/>
  </r>
  <r>
    <s v="ORD-1048"/>
    <s v="2021-12-26"/>
    <s v="2021-12-30"/>
    <n v="4"/>
    <s v="Riya Patel"/>
    <s v="Corporate"/>
    <s v="India"/>
    <s v="Mumbai"/>
    <s v="Maharashtra"/>
    <x v="0"/>
    <x v="0"/>
    <x v="8"/>
    <x v="45"/>
    <n v="457.45"/>
    <n v="8"/>
    <n v="381.07"/>
    <x v="0"/>
    <x v="0"/>
  </r>
  <r>
    <s v="ORD-1049"/>
    <s v="2021-02-21"/>
    <s v="2021-02-25"/>
    <n v="4"/>
    <s v="Riya Patel"/>
    <s v="Home Office"/>
    <s v="India"/>
    <s v="Chennai"/>
    <s v="Tamil Nadu"/>
    <x v="1"/>
    <x v="0"/>
    <x v="2"/>
    <x v="46"/>
    <n v="1173.8"/>
    <n v="1"/>
    <n v="232.88"/>
    <x v="0"/>
    <x v="8"/>
  </r>
  <r>
    <s v="ORD-1050"/>
    <s v="2021-08-29"/>
    <s v="2021-08-31"/>
    <n v="2"/>
    <s v="Arjun Mehta"/>
    <s v="Consumer"/>
    <s v="India"/>
    <s v="Chennai"/>
    <s v="Tamil Nadu"/>
    <x v="0"/>
    <x v="1"/>
    <x v="1"/>
    <x v="47"/>
    <n v="692.07"/>
    <n v="3"/>
    <n v="277.24"/>
    <x v="0"/>
    <x v="7"/>
  </r>
  <r>
    <s v="ORD-1051"/>
    <s v="2021-01-18"/>
    <s v="2021-01-23"/>
    <n v="5"/>
    <s v="Arjun Mehta"/>
    <s v="Consumer"/>
    <s v="India"/>
    <s v="Bengaluru"/>
    <s v="Karnataka"/>
    <x v="3"/>
    <x v="1"/>
    <x v="3"/>
    <x v="48"/>
    <n v="1683.7"/>
    <n v="5"/>
    <n v="592.70000000000005"/>
    <x v="0"/>
    <x v="6"/>
  </r>
  <r>
    <s v="ORD-1052"/>
    <s v="2021-07-04"/>
    <s v="2021-07-07"/>
    <n v="3"/>
    <s v="Arjun Mehta"/>
    <s v="Corporate"/>
    <s v="India"/>
    <s v="Kolkata"/>
    <s v="West Bengal"/>
    <x v="3"/>
    <x v="2"/>
    <x v="5"/>
    <x v="49"/>
    <n v="783.36"/>
    <n v="8"/>
    <n v="419.71"/>
    <x v="0"/>
    <x v="10"/>
  </r>
  <r>
    <s v="ORD-1053"/>
    <s v="2021-06-11"/>
    <s v="2021-06-15"/>
    <n v="4"/>
    <s v="Aarav Sharma"/>
    <s v="Consumer"/>
    <s v="India"/>
    <s v="Kolkata"/>
    <s v="West Bengal"/>
    <x v="3"/>
    <x v="1"/>
    <x v="4"/>
    <x v="50"/>
    <n v="1596.57"/>
    <n v="6"/>
    <n v="-11.06"/>
    <x v="0"/>
    <x v="11"/>
  </r>
  <r>
    <s v="ORD-1054"/>
    <s v="2021-08-28"/>
    <s v="2021-08-29"/>
    <n v="1"/>
    <s v="Arjun Mehta"/>
    <s v="Consumer"/>
    <s v="India"/>
    <s v="Chennai"/>
    <s v="Tamil Nadu"/>
    <x v="3"/>
    <x v="2"/>
    <x v="5"/>
    <x v="25"/>
    <n v="680.49"/>
    <n v="7"/>
    <n v="622.20000000000005"/>
    <x v="0"/>
    <x v="7"/>
  </r>
  <r>
    <s v="ORD-1055"/>
    <s v="2021-09-15"/>
    <s v="2021-09-20"/>
    <n v="5"/>
    <s v="Arjun Mehta"/>
    <s v="Consumer"/>
    <s v="India"/>
    <s v="Chennai"/>
    <s v="Tamil Nadu"/>
    <x v="3"/>
    <x v="2"/>
    <x v="6"/>
    <x v="51"/>
    <n v="57.02"/>
    <n v="2"/>
    <n v="-155.08000000000001"/>
    <x v="0"/>
    <x v="3"/>
  </r>
  <r>
    <s v="ORD-1056"/>
    <s v="2021-07-07"/>
    <s v="2021-07-08"/>
    <n v="1"/>
    <s v="Aarav Sharma"/>
    <s v="Consumer"/>
    <s v="India"/>
    <s v="Kolkata"/>
    <s v="West Bengal"/>
    <x v="2"/>
    <x v="2"/>
    <x v="5"/>
    <x v="52"/>
    <n v="1669.82"/>
    <n v="6"/>
    <n v="-112.89"/>
    <x v="0"/>
    <x v="10"/>
  </r>
  <r>
    <s v="ORD-1057"/>
    <s v="2021-07-16"/>
    <s v="2021-07-18"/>
    <n v="2"/>
    <s v="Arjun Mehta"/>
    <s v="Corporate"/>
    <s v="India"/>
    <s v="Delhi"/>
    <s v="Delhi"/>
    <x v="3"/>
    <x v="1"/>
    <x v="3"/>
    <x v="53"/>
    <n v="438.84"/>
    <n v="7"/>
    <n v="-49.23"/>
    <x v="0"/>
    <x v="10"/>
  </r>
  <r>
    <s v="ORD-1058"/>
    <s v="2021-10-05"/>
    <s v="2021-10-08"/>
    <n v="3"/>
    <s v="Riya Patel"/>
    <s v="Consumer"/>
    <s v="India"/>
    <s v="Mumbai"/>
    <s v="Maharashtra"/>
    <x v="2"/>
    <x v="2"/>
    <x v="7"/>
    <x v="54"/>
    <n v="1355.57"/>
    <n v="8"/>
    <n v="221.45"/>
    <x v="0"/>
    <x v="4"/>
  </r>
  <r>
    <s v="ORD-1059"/>
    <s v="2021-11-26"/>
    <s v="2021-11-29"/>
    <n v="3"/>
    <s v="Riya Patel"/>
    <s v="Corporate"/>
    <s v="India"/>
    <s v="Bengaluru"/>
    <s v="Karnataka"/>
    <x v="1"/>
    <x v="2"/>
    <x v="7"/>
    <x v="55"/>
    <n v="466.31"/>
    <n v="1"/>
    <n v="618.01"/>
    <x v="0"/>
    <x v="5"/>
  </r>
  <r>
    <s v="ORD-1060"/>
    <s v="2021-02-03"/>
    <s v="2021-02-07"/>
    <n v="4"/>
    <s v="Karan Verma"/>
    <s v="Consumer"/>
    <s v="India"/>
    <s v="Chennai"/>
    <s v="Tamil Nadu"/>
    <x v="1"/>
    <x v="2"/>
    <x v="5"/>
    <x v="56"/>
    <n v="1306.1099999999999"/>
    <n v="1"/>
    <n v="251.07"/>
    <x v="0"/>
    <x v="8"/>
  </r>
  <r>
    <s v="ORD-1061"/>
    <s v="2021-12-06"/>
    <s v="2021-12-09"/>
    <n v="3"/>
    <s v="Meera Singh"/>
    <s v="Corporate"/>
    <s v="India"/>
    <s v="Chennai"/>
    <s v="Tamil Nadu"/>
    <x v="0"/>
    <x v="0"/>
    <x v="8"/>
    <x v="57"/>
    <n v="1734.93"/>
    <n v="4"/>
    <n v="295.81"/>
    <x v="0"/>
    <x v="0"/>
  </r>
  <r>
    <s v="ORD-1062"/>
    <s v="2021-04-03"/>
    <s v="2021-04-07"/>
    <n v="4"/>
    <s v="Riya Patel"/>
    <s v="Corporate"/>
    <s v="India"/>
    <s v="Kolkata"/>
    <s v="West Bengal"/>
    <x v="3"/>
    <x v="2"/>
    <x v="7"/>
    <x v="58"/>
    <n v="147.35"/>
    <n v="1"/>
    <n v="417.52"/>
    <x v="0"/>
    <x v="9"/>
  </r>
  <r>
    <s v="ORD-1063"/>
    <s v="2021-06-11"/>
    <s v="2021-06-16"/>
    <n v="5"/>
    <s v="Karan Verma"/>
    <s v="Home Office"/>
    <s v="India"/>
    <s v="Mumbai"/>
    <s v="Maharashtra"/>
    <x v="0"/>
    <x v="1"/>
    <x v="3"/>
    <x v="28"/>
    <n v="366.49"/>
    <n v="1"/>
    <n v="77.849999999999994"/>
    <x v="0"/>
    <x v="11"/>
  </r>
  <r>
    <s v="ORD-1064"/>
    <s v="2021-11-30"/>
    <s v="2021-12-02"/>
    <n v="2"/>
    <s v="Arjun Mehta"/>
    <s v="Consumer"/>
    <s v="India"/>
    <s v="Bengaluru"/>
    <s v="Karnataka"/>
    <x v="1"/>
    <x v="1"/>
    <x v="4"/>
    <x v="59"/>
    <n v="1859.81"/>
    <n v="10"/>
    <n v="-2.62"/>
    <x v="0"/>
    <x v="5"/>
  </r>
  <r>
    <s v="ORD-1065"/>
    <s v="2021-08-17"/>
    <s v="2021-08-21"/>
    <n v="4"/>
    <s v="Riya Patel"/>
    <s v="Consumer"/>
    <s v="India"/>
    <s v="Delhi"/>
    <s v="Delhi"/>
    <x v="1"/>
    <x v="2"/>
    <x v="6"/>
    <x v="60"/>
    <n v="739.13"/>
    <n v="3"/>
    <n v="441.39"/>
    <x v="0"/>
    <x v="7"/>
  </r>
  <r>
    <s v="ORD-1066"/>
    <s v="2021-02-10"/>
    <s v="2021-02-15"/>
    <n v="5"/>
    <s v="Aarav Sharma"/>
    <s v="Home Office"/>
    <s v="India"/>
    <s v="Bengaluru"/>
    <s v="Karnataka"/>
    <x v="3"/>
    <x v="2"/>
    <x v="5"/>
    <x v="61"/>
    <n v="1175.99"/>
    <n v="10"/>
    <n v="69.510000000000005"/>
    <x v="0"/>
    <x v="8"/>
  </r>
  <r>
    <s v="ORD-1067"/>
    <s v="2021-06-30"/>
    <s v="2021-07-05"/>
    <n v="5"/>
    <s v="Meera Singh"/>
    <s v="Consumer"/>
    <s v="India"/>
    <s v="Delhi"/>
    <s v="Delhi"/>
    <x v="3"/>
    <x v="2"/>
    <x v="7"/>
    <x v="62"/>
    <n v="815.48"/>
    <n v="10"/>
    <n v="88.51"/>
    <x v="0"/>
    <x v="11"/>
  </r>
  <r>
    <s v="ORD-1068"/>
    <s v="2021-06-20"/>
    <s v="2021-06-23"/>
    <n v="3"/>
    <s v="Riya Patel"/>
    <s v="Consumer"/>
    <s v="India"/>
    <s v="Delhi"/>
    <s v="Delhi"/>
    <x v="2"/>
    <x v="1"/>
    <x v="4"/>
    <x v="63"/>
    <n v="1824.74"/>
    <n v="9"/>
    <n v="-141.94999999999999"/>
    <x v="0"/>
    <x v="11"/>
  </r>
  <r>
    <s v="ORD-1069"/>
    <s v="2021-08-02"/>
    <s v="2021-08-03"/>
    <n v="1"/>
    <s v="Meera Singh"/>
    <s v="Corporate"/>
    <s v="India"/>
    <s v="Delhi"/>
    <s v="Delhi"/>
    <x v="3"/>
    <x v="0"/>
    <x v="2"/>
    <x v="64"/>
    <n v="1616.62"/>
    <n v="3"/>
    <n v="542.66999999999996"/>
    <x v="0"/>
    <x v="7"/>
  </r>
  <r>
    <s v="ORD-1070"/>
    <s v="2021-05-12"/>
    <s v="2021-05-14"/>
    <n v="2"/>
    <s v="Riya Patel"/>
    <s v="Corporate"/>
    <s v="India"/>
    <s v="Mumbai"/>
    <s v="Maharashtra"/>
    <x v="3"/>
    <x v="0"/>
    <x v="8"/>
    <x v="45"/>
    <n v="404.99"/>
    <n v="7"/>
    <n v="571.53"/>
    <x v="0"/>
    <x v="1"/>
  </r>
  <r>
    <s v="ORD-1071"/>
    <s v="2021-11-19"/>
    <s v="2021-11-22"/>
    <n v="3"/>
    <s v="Aarav Sharma"/>
    <s v="Corporate"/>
    <s v="India"/>
    <s v="Kolkata"/>
    <s v="West Bengal"/>
    <x v="0"/>
    <x v="1"/>
    <x v="4"/>
    <x v="65"/>
    <n v="1036.44"/>
    <n v="1"/>
    <n v="557.34"/>
    <x v="0"/>
    <x v="5"/>
  </r>
  <r>
    <s v="ORD-1072"/>
    <s v="2021-12-17"/>
    <s v="2021-12-20"/>
    <n v="3"/>
    <s v="Riya Patel"/>
    <s v="Consumer"/>
    <s v="India"/>
    <s v="Kolkata"/>
    <s v="West Bengal"/>
    <x v="3"/>
    <x v="1"/>
    <x v="3"/>
    <x v="48"/>
    <n v="183.9"/>
    <n v="4"/>
    <n v="457.35"/>
    <x v="0"/>
    <x v="0"/>
  </r>
  <r>
    <s v="ORD-1073"/>
    <s v="2021-11-06"/>
    <s v="2021-11-11"/>
    <n v="5"/>
    <s v="Aarav Sharma"/>
    <s v="Corporate"/>
    <s v="India"/>
    <s v="Kolkata"/>
    <s v="West Bengal"/>
    <x v="3"/>
    <x v="2"/>
    <x v="6"/>
    <x v="66"/>
    <n v="1311.72"/>
    <n v="3"/>
    <n v="316.60000000000002"/>
    <x v="0"/>
    <x v="5"/>
  </r>
  <r>
    <s v="ORD-1074"/>
    <s v="2021-01-15"/>
    <s v="2021-01-16"/>
    <n v="1"/>
    <s v="Aarav Sharma"/>
    <s v="Corporate"/>
    <s v="India"/>
    <s v="Mumbai"/>
    <s v="Maharashtra"/>
    <x v="3"/>
    <x v="1"/>
    <x v="4"/>
    <x v="67"/>
    <n v="269.11"/>
    <n v="5"/>
    <n v="-114.84"/>
    <x v="0"/>
    <x v="6"/>
  </r>
  <r>
    <s v="ORD-1075"/>
    <s v="2021-09-23"/>
    <s v="2021-09-25"/>
    <n v="2"/>
    <s v="Aarav Sharma"/>
    <s v="Corporate"/>
    <s v="India"/>
    <s v="Kolkata"/>
    <s v="West Bengal"/>
    <x v="0"/>
    <x v="0"/>
    <x v="2"/>
    <x v="68"/>
    <n v="173.69"/>
    <n v="5"/>
    <n v="-120.75"/>
    <x v="0"/>
    <x v="3"/>
  </r>
  <r>
    <s v="ORD-1076"/>
    <s v="2021-04-15"/>
    <s v="2021-04-17"/>
    <n v="2"/>
    <s v="Arjun Mehta"/>
    <s v="Consumer"/>
    <s v="India"/>
    <s v="Mumbai"/>
    <s v="Maharashtra"/>
    <x v="1"/>
    <x v="1"/>
    <x v="4"/>
    <x v="29"/>
    <n v="1205.23"/>
    <n v="2"/>
    <n v="284.47000000000003"/>
    <x v="0"/>
    <x v="9"/>
  </r>
  <r>
    <s v="ORD-1077"/>
    <s v="2021-01-06"/>
    <s v="2021-01-09"/>
    <n v="3"/>
    <s v="Riya Patel"/>
    <s v="Corporate"/>
    <s v="India"/>
    <s v="Chennai"/>
    <s v="Tamil Nadu"/>
    <x v="0"/>
    <x v="2"/>
    <x v="5"/>
    <x v="69"/>
    <n v="456.26"/>
    <n v="9"/>
    <n v="92.13"/>
    <x v="0"/>
    <x v="6"/>
  </r>
  <r>
    <s v="ORD-1078"/>
    <s v="2021-01-19"/>
    <s v="2021-01-21"/>
    <n v="2"/>
    <s v="Riya Patel"/>
    <s v="Consumer"/>
    <s v="India"/>
    <s v="Kolkata"/>
    <s v="West Bengal"/>
    <x v="1"/>
    <x v="2"/>
    <x v="7"/>
    <x v="70"/>
    <n v="1048.07"/>
    <n v="10"/>
    <n v="-113.18"/>
    <x v="0"/>
    <x v="6"/>
  </r>
  <r>
    <s v="ORD-1079"/>
    <s v="2021-01-06"/>
    <s v="2021-01-08"/>
    <n v="2"/>
    <s v="Karan Verma"/>
    <s v="Corporate"/>
    <s v="India"/>
    <s v="Chennai"/>
    <s v="Tamil Nadu"/>
    <x v="0"/>
    <x v="2"/>
    <x v="5"/>
    <x v="71"/>
    <n v="1956.98"/>
    <n v="6"/>
    <n v="-34.85"/>
    <x v="0"/>
    <x v="6"/>
  </r>
  <r>
    <s v="ORD-1080"/>
    <s v="2021-01-15"/>
    <s v="2021-01-16"/>
    <n v="1"/>
    <s v="Arjun Mehta"/>
    <s v="Home Office"/>
    <s v="India"/>
    <s v="Mumbai"/>
    <s v="Maharashtra"/>
    <x v="2"/>
    <x v="0"/>
    <x v="2"/>
    <x v="72"/>
    <n v="424.83"/>
    <n v="5"/>
    <n v="-35.46"/>
    <x v="0"/>
    <x v="6"/>
  </r>
  <r>
    <s v="ORD-1081"/>
    <s v="2021-11-30"/>
    <s v="2021-12-02"/>
    <n v="2"/>
    <s v="Aarav Sharma"/>
    <s v="Corporate"/>
    <s v="India"/>
    <s v="Mumbai"/>
    <s v="Maharashtra"/>
    <x v="3"/>
    <x v="1"/>
    <x v="3"/>
    <x v="73"/>
    <n v="1148.27"/>
    <n v="1"/>
    <n v="391.65"/>
    <x v="0"/>
    <x v="5"/>
  </r>
  <r>
    <s v="ORD-1082"/>
    <s v="2021-07-19"/>
    <s v="2021-07-21"/>
    <n v="2"/>
    <s v="Karan Verma"/>
    <s v="Consumer"/>
    <s v="India"/>
    <s v="Kolkata"/>
    <s v="West Bengal"/>
    <x v="0"/>
    <x v="1"/>
    <x v="3"/>
    <x v="74"/>
    <n v="1532.14"/>
    <n v="5"/>
    <n v="82.1"/>
    <x v="0"/>
    <x v="10"/>
  </r>
  <r>
    <s v="ORD-1083"/>
    <s v="2021-11-24"/>
    <s v="2021-11-26"/>
    <n v="2"/>
    <s v="Meera Singh"/>
    <s v="Home Office"/>
    <s v="India"/>
    <s v="Mumbai"/>
    <s v="Maharashtra"/>
    <x v="0"/>
    <x v="0"/>
    <x v="8"/>
    <x v="75"/>
    <n v="722.99"/>
    <n v="1"/>
    <n v="-159.29"/>
    <x v="0"/>
    <x v="5"/>
  </r>
  <r>
    <s v="ORD-1084"/>
    <s v="2021-11-12"/>
    <s v="2021-11-16"/>
    <n v="4"/>
    <s v="Aarav Sharma"/>
    <s v="Corporate"/>
    <s v="India"/>
    <s v="Delhi"/>
    <s v="Delhi"/>
    <x v="0"/>
    <x v="2"/>
    <x v="5"/>
    <x v="76"/>
    <n v="1938.77"/>
    <n v="5"/>
    <n v="216.62"/>
    <x v="0"/>
    <x v="5"/>
  </r>
  <r>
    <s v="ORD-1085"/>
    <s v="2021-03-13"/>
    <s v="2021-03-14"/>
    <n v="1"/>
    <s v="Arjun Mehta"/>
    <s v="Corporate"/>
    <s v="India"/>
    <s v="Kolkata"/>
    <s v="West Bengal"/>
    <x v="3"/>
    <x v="2"/>
    <x v="5"/>
    <x v="77"/>
    <n v="585.79"/>
    <n v="1"/>
    <n v="312.76"/>
    <x v="0"/>
    <x v="2"/>
  </r>
  <r>
    <s v="ORD-1086"/>
    <s v="2021-09-10"/>
    <s v="2021-09-11"/>
    <n v="1"/>
    <s v="Arjun Mehta"/>
    <s v="Consumer"/>
    <s v="India"/>
    <s v="Chennai"/>
    <s v="Tamil Nadu"/>
    <x v="3"/>
    <x v="1"/>
    <x v="1"/>
    <x v="78"/>
    <n v="1315.91"/>
    <n v="5"/>
    <n v="-56.52"/>
    <x v="0"/>
    <x v="3"/>
  </r>
  <r>
    <s v="ORD-1087"/>
    <s v="2021-05-06"/>
    <s v="2021-05-09"/>
    <n v="3"/>
    <s v="Aarav Sharma"/>
    <s v="Corporate"/>
    <s v="India"/>
    <s v="Kolkata"/>
    <s v="West Bengal"/>
    <x v="2"/>
    <x v="1"/>
    <x v="4"/>
    <x v="79"/>
    <n v="1470.89"/>
    <n v="9"/>
    <n v="263.82"/>
    <x v="0"/>
    <x v="1"/>
  </r>
  <r>
    <s v="ORD-1088"/>
    <s v="2021-03-17"/>
    <s v="2021-03-21"/>
    <n v="4"/>
    <s v="Karan Verma"/>
    <s v="Home Office"/>
    <s v="India"/>
    <s v="Chennai"/>
    <s v="Tamil Nadu"/>
    <x v="0"/>
    <x v="2"/>
    <x v="5"/>
    <x v="80"/>
    <n v="769.78"/>
    <n v="7"/>
    <n v="-96.6"/>
    <x v="0"/>
    <x v="2"/>
  </r>
  <r>
    <s v="ORD-1089"/>
    <s v="2021-05-24"/>
    <s v="2021-05-28"/>
    <n v="4"/>
    <s v="Aarav Sharma"/>
    <s v="Corporate"/>
    <s v="India"/>
    <s v="Kolkata"/>
    <s v="West Bengal"/>
    <x v="0"/>
    <x v="2"/>
    <x v="6"/>
    <x v="81"/>
    <n v="1071.43"/>
    <n v="8"/>
    <n v="49.75"/>
    <x v="0"/>
    <x v="1"/>
  </r>
  <r>
    <s v="ORD-1090"/>
    <s v="2021-03-12"/>
    <s v="2021-03-17"/>
    <n v="5"/>
    <s v="Riya Patel"/>
    <s v="Corporate"/>
    <s v="India"/>
    <s v="Mumbai"/>
    <s v="Maharashtra"/>
    <x v="2"/>
    <x v="0"/>
    <x v="8"/>
    <x v="82"/>
    <n v="289.13"/>
    <n v="4"/>
    <n v="441.23"/>
    <x v="0"/>
    <x v="2"/>
  </r>
  <r>
    <s v="ORD-1091"/>
    <s v="2021-04-29"/>
    <s v="2021-05-01"/>
    <n v="2"/>
    <s v="Meera Singh"/>
    <s v="Home Office"/>
    <s v="India"/>
    <s v="Bengaluru"/>
    <s v="Karnataka"/>
    <x v="2"/>
    <x v="2"/>
    <x v="7"/>
    <x v="83"/>
    <n v="920.74"/>
    <n v="7"/>
    <n v="592.20000000000005"/>
    <x v="0"/>
    <x v="9"/>
  </r>
  <r>
    <s v="ORD-1092"/>
    <s v="2021-06-27"/>
    <s v="2021-07-02"/>
    <n v="5"/>
    <s v="Karan Verma"/>
    <s v="Corporate"/>
    <s v="India"/>
    <s v="Chennai"/>
    <s v="Tamil Nadu"/>
    <x v="1"/>
    <x v="2"/>
    <x v="6"/>
    <x v="84"/>
    <n v="351.65"/>
    <n v="7"/>
    <n v="126.92"/>
    <x v="0"/>
    <x v="11"/>
  </r>
  <r>
    <s v="ORD-1093"/>
    <s v="2021-04-02"/>
    <s v="2021-04-03"/>
    <n v="1"/>
    <s v="Karan Verma"/>
    <s v="Corporate"/>
    <s v="India"/>
    <s v="Mumbai"/>
    <s v="Maharashtra"/>
    <x v="2"/>
    <x v="2"/>
    <x v="7"/>
    <x v="27"/>
    <n v="862.18"/>
    <n v="4"/>
    <n v="649.64"/>
    <x v="0"/>
    <x v="9"/>
  </r>
  <r>
    <s v="ORD-1094"/>
    <s v="2021-12-27"/>
    <s v="2021-12-29"/>
    <n v="2"/>
    <s v="Aarav Sharma"/>
    <s v="Corporate"/>
    <s v="India"/>
    <s v="Kolkata"/>
    <s v="West Bengal"/>
    <x v="3"/>
    <x v="2"/>
    <x v="7"/>
    <x v="85"/>
    <n v="1540.19"/>
    <n v="3"/>
    <n v="-98.72"/>
    <x v="0"/>
    <x v="0"/>
  </r>
  <r>
    <s v="ORD-1095"/>
    <s v="2021-11-17"/>
    <s v="2021-11-20"/>
    <n v="3"/>
    <s v="Meera Singh"/>
    <s v="Home Office"/>
    <s v="India"/>
    <s v="Mumbai"/>
    <s v="Maharashtra"/>
    <x v="1"/>
    <x v="0"/>
    <x v="2"/>
    <x v="86"/>
    <n v="284.54000000000002"/>
    <n v="10"/>
    <n v="343.68"/>
    <x v="0"/>
    <x v="5"/>
  </r>
  <r>
    <s v="ORD-1096"/>
    <s v="2021-04-07"/>
    <s v="2021-04-08"/>
    <n v="1"/>
    <s v="Meera Singh"/>
    <s v="Home Office"/>
    <s v="India"/>
    <s v="Kolkata"/>
    <s v="West Bengal"/>
    <x v="2"/>
    <x v="2"/>
    <x v="5"/>
    <x v="87"/>
    <n v="945.07"/>
    <n v="3"/>
    <n v="521.78"/>
    <x v="0"/>
    <x v="9"/>
  </r>
  <r>
    <s v="ORD-1097"/>
    <s v="2021-11-17"/>
    <s v="2021-11-18"/>
    <n v="1"/>
    <s v="Arjun Mehta"/>
    <s v="Home Office"/>
    <s v="India"/>
    <s v="Kolkata"/>
    <s v="West Bengal"/>
    <x v="3"/>
    <x v="1"/>
    <x v="4"/>
    <x v="88"/>
    <n v="935.33"/>
    <n v="3"/>
    <n v="-14.78"/>
    <x v="0"/>
    <x v="5"/>
  </r>
  <r>
    <s v="ORD-1098"/>
    <s v="2021-07-03"/>
    <s v="2021-07-08"/>
    <n v="5"/>
    <s v="Meera Singh"/>
    <s v="Corporate"/>
    <s v="India"/>
    <s v="Chennai"/>
    <s v="Tamil Nadu"/>
    <x v="0"/>
    <x v="2"/>
    <x v="7"/>
    <x v="70"/>
    <n v="1091.67"/>
    <n v="7"/>
    <n v="-57.37"/>
    <x v="0"/>
    <x v="10"/>
  </r>
  <r>
    <s v="ORD-1099"/>
    <s v="2021-07-09"/>
    <s v="2021-07-11"/>
    <n v="2"/>
    <s v="Meera Singh"/>
    <s v="Home Office"/>
    <s v="India"/>
    <s v="Mumbai"/>
    <s v="Maharashtra"/>
    <x v="0"/>
    <x v="0"/>
    <x v="8"/>
    <x v="89"/>
    <n v="1161.8599999999999"/>
    <n v="3"/>
    <n v="-180.59"/>
    <x v="0"/>
    <x v="10"/>
  </r>
  <r>
    <s v="ORD-1100"/>
    <s v="2021-01-31"/>
    <s v="2021-02-03"/>
    <n v="3"/>
    <s v="Riya Patel"/>
    <s v="Home Office"/>
    <s v="India"/>
    <s v="Bengaluru"/>
    <s v="Karnataka"/>
    <x v="0"/>
    <x v="1"/>
    <x v="1"/>
    <x v="90"/>
    <n v="1590.1"/>
    <n v="1"/>
    <n v="-20.93"/>
    <x v="0"/>
    <x v="6"/>
  </r>
  <r>
    <s v="ORD-1101"/>
    <s v="2021-06-06"/>
    <s v="2021-06-10"/>
    <n v="4"/>
    <s v="Aarav Sharma"/>
    <s v="Consumer"/>
    <s v="India"/>
    <s v="Delhi"/>
    <s v="Delhi"/>
    <x v="0"/>
    <x v="0"/>
    <x v="8"/>
    <x v="91"/>
    <n v="1700.93"/>
    <n v="3"/>
    <n v="-32.83"/>
    <x v="0"/>
    <x v="11"/>
  </r>
  <r>
    <s v="ORD-1102"/>
    <s v="2021-09-21"/>
    <s v="2021-09-25"/>
    <n v="4"/>
    <s v="Karan Verma"/>
    <s v="Consumer"/>
    <s v="India"/>
    <s v="Bengaluru"/>
    <s v="Karnataka"/>
    <x v="3"/>
    <x v="1"/>
    <x v="1"/>
    <x v="92"/>
    <n v="1010.69"/>
    <n v="8"/>
    <n v="440.37"/>
    <x v="0"/>
    <x v="3"/>
  </r>
  <r>
    <s v="ORD-1103"/>
    <s v="2021-04-08"/>
    <s v="2021-04-13"/>
    <n v="5"/>
    <s v="Riya Patel"/>
    <s v="Consumer"/>
    <s v="India"/>
    <s v="Chennai"/>
    <s v="Tamil Nadu"/>
    <x v="0"/>
    <x v="2"/>
    <x v="7"/>
    <x v="93"/>
    <n v="1925.2"/>
    <n v="5"/>
    <n v="698.95"/>
    <x v="0"/>
    <x v="9"/>
  </r>
  <r>
    <s v="ORD-1104"/>
    <s v="2021-03-30"/>
    <s v="2021-04-01"/>
    <n v="2"/>
    <s v="Karan Verma"/>
    <s v="Home Office"/>
    <s v="India"/>
    <s v="Bengaluru"/>
    <s v="Karnataka"/>
    <x v="0"/>
    <x v="1"/>
    <x v="1"/>
    <x v="94"/>
    <n v="434.71"/>
    <n v="1"/>
    <n v="-141.68"/>
    <x v="0"/>
    <x v="2"/>
  </r>
  <r>
    <s v="ORD-1105"/>
    <s v="2021-03-28"/>
    <s v="2021-04-02"/>
    <n v="5"/>
    <s v="Aarav Sharma"/>
    <s v="Consumer"/>
    <s v="India"/>
    <s v="Kolkata"/>
    <s v="West Bengal"/>
    <x v="1"/>
    <x v="0"/>
    <x v="0"/>
    <x v="95"/>
    <n v="1786.54"/>
    <n v="7"/>
    <n v="366.56"/>
    <x v="0"/>
    <x v="2"/>
  </r>
  <r>
    <s v="ORD-1106"/>
    <s v="2021-03-17"/>
    <s v="2021-03-18"/>
    <n v="1"/>
    <s v="Meera Singh"/>
    <s v="Consumer"/>
    <s v="India"/>
    <s v="Bengaluru"/>
    <s v="Karnataka"/>
    <x v="3"/>
    <x v="0"/>
    <x v="2"/>
    <x v="96"/>
    <n v="1449.04"/>
    <n v="5"/>
    <n v="-18.21"/>
    <x v="0"/>
    <x v="2"/>
  </r>
  <r>
    <s v="ORD-1107"/>
    <s v="2021-09-25"/>
    <s v="2021-09-26"/>
    <n v="1"/>
    <s v="Riya Patel"/>
    <s v="Corporate"/>
    <s v="India"/>
    <s v="Delhi"/>
    <s v="Delhi"/>
    <x v="2"/>
    <x v="1"/>
    <x v="4"/>
    <x v="97"/>
    <n v="1365.54"/>
    <n v="9"/>
    <n v="30.09"/>
    <x v="0"/>
    <x v="3"/>
  </r>
  <r>
    <s v="ORD-1108"/>
    <s v="2021-10-28"/>
    <s v="2021-10-30"/>
    <n v="2"/>
    <s v="Riya Patel"/>
    <s v="Corporate"/>
    <s v="India"/>
    <s v="Chennai"/>
    <s v="Tamil Nadu"/>
    <x v="1"/>
    <x v="2"/>
    <x v="5"/>
    <x v="98"/>
    <n v="1021.75"/>
    <n v="2"/>
    <n v="455.23"/>
    <x v="0"/>
    <x v="4"/>
  </r>
  <r>
    <s v="ORD-1109"/>
    <s v="2021-01-29"/>
    <s v="2021-01-31"/>
    <n v="2"/>
    <s v="Karan Verma"/>
    <s v="Corporate"/>
    <s v="India"/>
    <s v="Delhi"/>
    <s v="Delhi"/>
    <x v="2"/>
    <x v="0"/>
    <x v="0"/>
    <x v="95"/>
    <n v="1295.43"/>
    <n v="6"/>
    <n v="-57.25"/>
    <x v="0"/>
    <x v="6"/>
  </r>
  <r>
    <s v="ORD-1110"/>
    <s v="2021-03-08"/>
    <s v="2021-03-13"/>
    <n v="5"/>
    <s v="Aarav Sharma"/>
    <s v="Corporate"/>
    <s v="India"/>
    <s v="Mumbai"/>
    <s v="Maharashtra"/>
    <x v="2"/>
    <x v="1"/>
    <x v="4"/>
    <x v="65"/>
    <n v="181.53"/>
    <n v="10"/>
    <n v="176.4"/>
    <x v="0"/>
    <x v="2"/>
  </r>
  <r>
    <s v="ORD-1111"/>
    <s v="2021-01-10"/>
    <s v="2021-01-12"/>
    <n v="2"/>
    <s v="Karan Verma"/>
    <s v="Home Office"/>
    <s v="India"/>
    <s v="Bengaluru"/>
    <s v="Karnataka"/>
    <x v="0"/>
    <x v="2"/>
    <x v="6"/>
    <x v="36"/>
    <n v="789.34"/>
    <n v="7"/>
    <n v="94.85"/>
    <x v="0"/>
    <x v="6"/>
  </r>
  <r>
    <s v="ORD-1112"/>
    <s v="2021-07-01"/>
    <s v="2021-07-06"/>
    <n v="5"/>
    <s v="Meera Singh"/>
    <s v="Corporate"/>
    <s v="India"/>
    <s v="Chennai"/>
    <s v="Tamil Nadu"/>
    <x v="0"/>
    <x v="2"/>
    <x v="7"/>
    <x v="99"/>
    <n v="497.86"/>
    <n v="5"/>
    <n v="-35.869999999999997"/>
    <x v="0"/>
    <x v="10"/>
  </r>
  <r>
    <s v="ORD-1113"/>
    <s v="2021-06-14"/>
    <s v="2021-06-17"/>
    <n v="3"/>
    <s v="Karan Verma"/>
    <s v="Home Office"/>
    <s v="India"/>
    <s v="Chennai"/>
    <s v="Tamil Nadu"/>
    <x v="1"/>
    <x v="1"/>
    <x v="1"/>
    <x v="100"/>
    <n v="1544.42"/>
    <n v="7"/>
    <n v="696.63"/>
    <x v="0"/>
    <x v="11"/>
  </r>
  <r>
    <s v="ORD-1114"/>
    <s v="2021-03-28"/>
    <s v="2021-04-02"/>
    <n v="5"/>
    <s v="Riya Patel"/>
    <s v="Home Office"/>
    <s v="India"/>
    <s v="Bengaluru"/>
    <s v="Karnataka"/>
    <x v="1"/>
    <x v="1"/>
    <x v="3"/>
    <x v="101"/>
    <n v="1773.93"/>
    <n v="8"/>
    <n v="442.85"/>
    <x v="0"/>
    <x v="2"/>
  </r>
  <r>
    <s v="ORD-1115"/>
    <s v="2021-08-26"/>
    <s v="2021-08-30"/>
    <n v="4"/>
    <s v="Aarav Sharma"/>
    <s v="Corporate"/>
    <s v="India"/>
    <s v="Delhi"/>
    <s v="Delhi"/>
    <x v="1"/>
    <x v="2"/>
    <x v="7"/>
    <x v="102"/>
    <n v="647.65"/>
    <n v="4"/>
    <n v="2.0499999999999998"/>
    <x v="0"/>
    <x v="7"/>
  </r>
  <r>
    <s v="ORD-1116"/>
    <s v="2021-01-27"/>
    <s v="2021-02-01"/>
    <n v="5"/>
    <s v="Riya Patel"/>
    <s v="Corporate"/>
    <s v="India"/>
    <s v="Mumbai"/>
    <s v="Maharashtra"/>
    <x v="1"/>
    <x v="2"/>
    <x v="7"/>
    <x v="103"/>
    <n v="618.04"/>
    <n v="8"/>
    <n v="-80.569999999999993"/>
    <x v="0"/>
    <x v="6"/>
  </r>
  <r>
    <s v="ORD-1117"/>
    <s v="2021-01-24"/>
    <s v="2021-01-29"/>
    <n v="5"/>
    <s v="Aarav Sharma"/>
    <s v="Corporate"/>
    <s v="India"/>
    <s v="Chennai"/>
    <s v="Tamil Nadu"/>
    <x v="2"/>
    <x v="2"/>
    <x v="5"/>
    <x v="104"/>
    <n v="291.3"/>
    <n v="6"/>
    <n v="639.14"/>
    <x v="0"/>
    <x v="6"/>
  </r>
  <r>
    <s v="ORD-1118"/>
    <s v="2021-03-31"/>
    <s v="2021-04-02"/>
    <n v="2"/>
    <s v="Aarav Sharma"/>
    <s v="Home Office"/>
    <s v="India"/>
    <s v="Mumbai"/>
    <s v="Maharashtra"/>
    <x v="2"/>
    <x v="1"/>
    <x v="1"/>
    <x v="105"/>
    <n v="200.62"/>
    <n v="10"/>
    <n v="573.04999999999995"/>
    <x v="0"/>
    <x v="2"/>
  </r>
  <r>
    <s v="ORD-1119"/>
    <s v="2021-12-22"/>
    <s v="2021-12-25"/>
    <n v="3"/>
    <s v="Meera Singh"/>
    <s v="Corporate"/>
    <s v="India"/>
    <s v="Bengaluru"/>
    <s v="Karnataka"/>
    <x v="0"/>
    <x v="1"/>
    <x v="4"/>
    <x v="106"/>
    <n v="1918.65"/>
    <n v="6"/>
    <n v="435.62"/>
    <x v="0"/>
    <x v="0"/>
  </r>
  <r>
    <s v="ORD-1120"/>
    <s v="2021-09-26"/>
    <s v="2021-10-01"/>
    <n v="5"/>
    <s v="Aarav Sharma"/>
    <s v="Corporate"/>
    <s v="India"/>
    <s v="Mumbai"/>
    <s v="Maharashtra"/>
    <x v="2"/>
    <x v="2"/>
    <x v="7"/>
    <x v="8"/>
    <n v="1691.16"/>
    <n v="8"/>
    <n v="165.11"/>
    <x v="0"/>
    <x v="3"/>
  </r>
  <r>
    <s v="ORD-1121"/>
    <s v="2021-02-15"/>
    <s v="2021-02-16"/>
    <n v="1"/>
    <s v="Karan Verma"/>
    <s v="Corporate"/>
    <s v="India"/>
    <s v="Chennai"/>
    <s v="Tamil Nadu"/>
    <x v="2"/>
    <x v="2"/>
    <x v="6"/>
    <x v="107"/>
    <n v="1321.62"/>
    <n v="4"/>
    <n v="-97.34"/>
    <x v="0"/>
    <x v="8"/>
  </r>
  <r>
    <s v="ORD-1122"/>
    <s v="2021-04-20"/>
    <s v="2021-04-24"/>
    <n v="4"/>
    <s v="Aarav Sharma"/>
    <s v="Consumer"/>
    <s v="India"/>
    <s v="Bengaluru"/>
    <s v="Karnataka"/>
    <x v="3"/>
    <x v="1"/>
    <x v="3"/>
    <x v="108"/>
    <n v="665.86"/>
    <n v="7"/>
    <n v="66.209999999999994"/>
    <x v="0"/>
    <x v="9"/>
  </r>
  <r>
    <s v="ORD-1123"/>
    <s v="2021-07-11"/>
    <s v="2021-07-15"/>
    <n v="4"/>
    <s v="Aarav Sharma"/>
    <s v="Consumer"/>
    <s v="India"/>
    <s v="Kolkata"/>
    <s v="West Bengal"/>
    <x v="1"/>
    <x v="2"/>
    <x v="6"/>
    <x v="81"/>
    <n v="638.30999999999995"/>
    <n v="2"/>
    <n v="21.51"/>
    <x v="0"/>
    <x v="10"/>
  </r>
  <r>
    <s v="ORD-1124"/>
    <s v="2021-07-30"/>
    <s v="2021-08-02"/>
    <n v="3"/>
    <s v="Meera Singh"/>
    <s v="Corporate"/>
    <s v="India"/>
    <s v="Chennai"/>
    <s v="Tamil Nadu"/>
    <x v="1"/>
    <x v="0"/>
    <x v="0"/>
    <x v="109"/>
    <n v="1617.74"/>
    <n v="6"/>
    <n v="5.69"/>
    <x v="0"/>
    <x v="10"/>
  </r>
  <r>
    <s v="ORD-1125"/>
    <s v="2021-08-12"/>
    <s v="2021-08-15"/>
    <n v="3"/>
    <s v="Karan Verma"/>
    <s v="Consumer"/>
    <s v="India"/>
    <s v="Kolkata"/>
    <s v="West Bengal"/>
    <x v="0"/>
    <x v="2"/>
    <x v="5"/>
    <x v="110"/>
    <n v="1339.73"/>
    <n v="10"/>
    <n v="-76.150000000000006"/>
    <x v="0"/>
    <x v="7"/>
  </r>
  <r>
    <s v="ORD-1126"/>
    <s v="2021-10-26"/>
    <s v="2021-10-27"/>
    <n v="1"/>
    <s v="Karan Verma"/>
    <s v="Home Office"/>
    <s v="India"/>
    <s v="Delhi"/>
    <s v="Delhi"/>
    <x v="0"/>
    <x v="0"/>
    <x v="0"/>
    <x v="111"/>
    <n v="1865.8"/>
    <n v="4"/>
    <n v="142.81"/>
    <x v="0"/>
    <x v="4"/>
  </r>
  <r>
    <s v="ORD-1127"/>
    <s v="2021-08-26"/>
    <s v="2021-08-27"/>
    <n v="1"/>
    <s v="Karan Verma"/>
    <s v="Consumer"/>
    <s v="India"/>
    <s v="Bengaluru"/>
    <s v="Karnataka"/>
    <x v="0"/>
    <x v="1"/>
    <x v="4"/>
    <x v="67"/>
    <n v="1762"/>
    <n v="1"/>
    <n v="622.73"/>
    <x v="0"/>
    <x v="7"/>
  </r>
  <r>
    <s v="ORD-1128"/>
    <s v="2021-08-02"/>
    <s v="2021-08-06"/>
    <n v="4"/>
    <s v="Arjun Mehta"/>
    <s v="Consumer"/>
    <s v="India"/>
    <s v="Kolkata"/>
    <s v="West Bengal"/>
    <x v="2"/>
    <x v="1"/>
    <x v="1"/>
    <x v="112"/>
    <n v="1070.19"/>
    <n v="5"/>
    <n v="-171.06"/>
    <x v="0"/>
    <x v="7"/>
  </r>
  <r>
    <s v="ORD-1129"/>
    <s v="2021-05-12"/>
    <s v="2021-05-15"/>
    <n v="3"/>
    <s v="Arjun Mehta"/>
    <s v="Consumer"/>
    <s v="India"/>
    <s v="Kolkata"/>
    <s v="West Bengal"/>
    <x v="3"/>
    <x v="1"/>
    <x v="4"/>
    <x v="113"/>
    <n v="136.18"/>
    <n v="9"/>
    <n v="77.42"/>
    <x v="0"/>
    <x v="1"/>
  </r>
  <r>
    <s v="ORD-1130"/>
    <s v="2021-03-29"/>
    <s v="2021-04-03"/>
    <n v="5"/>
    <s v="Aarav Sharma"/>
    <s v="Consumer"/>
    <s v="India"/>
    <s v="Chennai"/>
    <s v="Tamil Nadu"/>
    <x v="1"/>
    <x v="1"/>
    <x v="1"/>
    <x v="114"/>
    <n v="887.82"/>
    <n v="9"/>
    <n v="-140.24"/>
    <x v="0"/>
    <x v="2"/>
  </r>
  <r>
    <s v="ORD-1131"/>
    <s v="2021-02-08"/>
    <s v="2021-02-09"/>
    <n v="1"/>
    <s v="Meera Singh"/>
    <s v="Home Office"/>
    <s v="India"/>
    <s v="Kolkata"/>
    <s v="West Bengal"/>
    <x v="1"/>
    <x v="2"/>
    <x v="5"/>
    <x v="115"/>
    <n v="145.38"/>
    <n v="1"/>
    <n v="515.97"/>
    <x v="0"/>
    <x v="8"/>
  </r>
  <r>
    <s v="ORD-1132"/>
    <s v="2021-10-06"/>
    <s v="2021-10-07"/>
    <n v="1"/>
    <s v="Meera Singh"/>
    <s v="Home Office"/>
    <s v="India"/>
    <s v="Kolkata"/>
    <s v="West Bengal"/>
    <x v="1"/>
    <x v="2"/>
    <x v="5"/>
    <x v="71"/>
    <n v="155.07"/>
    <n v="7"/>
    <n v="570.49"/>
    <x v="0"/>
    <x v="4"/>
  </r>
  <r>
    <s v="ORD-1133"/>
    <s v="2021-03-09"/>
    <s v="2021-03-13"/>
    <n v="4"/>
    <s v="Arjun Mehta"/>
    <s v="Corporate"/>
    <s v="India"/>
    <s v="Kolkata"/>
    <s v="West Bengal"/>
    <x v="0"/>
    <x v="2"/>
    <x v="5"/>
    <x v="116"/>
    <n v="1392.18"/>
    <n v="2"/>
    <n v="314.72000000000003"/>
    <x v="0"/>
    <x v="2"/>
  </r>
  <r>
    <s v="ORD-1134"/>
    <s v="2021-05-07"/>
    <s v="2021-05-11"/>
    <n v="4"/>
    <s v="Arjun Mehta"/>
    <s v="Corporate"/>
    <s v="India"/>
    <s v="Chennai"/>
    <s v="Tamil Nadu"/>
    <x v="1"/>
    <x v="0"/>
    <x v="0"/>
    <x v="95"/>
    <n v="1315.14"/>
    <n v="9"/>
    <n v="70.78"/>
    <x v="0"/>
    <x v="1"/>
  </r>
  <r>
    <s v="ORD-1135"/>
    <s v="2021-04-14"/>
    <s v="2021-04-18"/>
    <n v="4"/>
    <s v="Arjun Mehta"/>
    <s v="Home Office"/>
    <s v="India"/>
    <s v="Bengaluru"/>
    <s v="Karnataka"/>
    <x v="2"/>
    <x v="1"/>
    <x v="3"/>
    <x v="117"/>
    <n v="405.25"/>
    <n v="2"/>
    <n v="432.61"/>
    <x v="0"/>
    <x v="9"/>
  </r>
  <r>
    <s v="ORD-1136"/>
    <s v="2021-01-24"/>
    <s v="2021-01-29"/>
    <n v="5"/>
    <s v="Riya Patel"/>
    <s v="Corporate"/>
    <s v="India"/>
    <s v="Mumbai"/>
    <s v="Maharashtra"/>
    <x v="1"/>
    <x v="0"/>
    <x v="2"/>
    <x v="118"/>
    <n v="51.51"/>
    <n v="9"/>
    <n v="-35.32"/>
    <x v="0"/>
    <x v="6"/>
  </r>
  <r>
    <s v="ORD-1137"/>
    <s v="2021-07-05"/>
    <s v="2021-07-10"/>
    <n v="5"/>
    <s v="Arjun Mehta"/>
    <s v="Consumer"/>
    <s v="India"/>
    <s v="Delhi"/>
    <s v="Delhi"/>
    <x v="0"/>
    <x v="1"/>
    <x v="3"/>
    <x v="119"/>
    <n v="1423.62"/>
    <n v="3"/>
    <n v="591.37"/>
    <x v="0"/>
    <x v="10"/>
  </r>
  <r>
    <s v="ORD-1138"/>
    <s v="2021-06-14"/>
    <s v="2021-06-19"/>
    <n v="5"/>
    <s v="Karan Verma"/>
    <s v="Home Office"/>
    <s v="India"/>
    <s v="Mumbai"/>
    <s v="Maharashtra"/>
    <x v="2"/>
    <x v="1"/>
    <x v="4"/>
    <x v="120"/>
    <n v="122.93"/>
    <n v="9"/>
    <n v="304.12"/>
    <x v="0"/>
    <x v="11"/>
  </r>
  <r>
    <s v="ORD-1139"/>
    <s v="2021-12-21"/>
    <s v="2021-12-24"/>
    <n v="3"/>
    <s v="Riya Patel"/>
    <s v="Home Office"/>
    <s v="India"/>
    <s v="Mumbai"/>
    <s v="Maharashtra"/>
    <x v="1"/>
    <x v="0"/>
    <x v="2"/>
    <x v="118"/>
    <n v="630.71"/>
    <n v="7"/>
    <n v="58.25"/>
    <x v="0"/>
    <x v="0"/>
  </r>
  <r>
    <s v="ORD-1140"/>
    <s v="2021-08-10"/>
    <s v="2021-08-12"/>
    <n v="2"/>
    <s v="Riya Patel"/>
    <s v="Home Office"/>
    <s v="India"/>
    <s v="Mumbai"/>
    <s v="Maharashtra"/>
    <x v="0"/>
    <x v="2"/>
    <x v="6"/>
    <x v="60"/>
    <n v="1413.47"/>
    <n v="10"/>
    <n v="315.89"/>
    <x v="0"/>
    <x v="7"/>
  </r>
  <r>
    <s v="ORD-1141"/>
    <s v="2021-12-28"/>
    <s v="2021-12-31"/>
    <n v="3"/>
    <s v="Meera Singh"/>
    <s v="Home Office"/>
    <s v="India"/>
    <s v="Kolkata"/>
    <s v="West Bengal"/>
    <x v="1"/>
    <x v="0"/>
    <x v="2"/>
    <x v="121"/>
    <n v="1804.73"/>
    <n v="5"/>
    <n v="574.99"/>
    <x v="0"/>
    <x v="0"/>
  </r>
  <r>
    <s v="ORD-1142"/>
    <s v="2021-05-18"/>
    <s v="2021-05-19"/>
    <n v="1"/>
    <s v="Arjun Mehta"/>
    <s v="Consumer"/>
    <s v="India"/>
    <s v="Kolkata"/>
    <s v="West Bengal"/>
    <x v="2"/>
    <x v="1"/>
    <x v="3"/>
    <x v="122"/>
    <n v="192.76"/>
    <n v="9"/>
    <n v="-71.8"/>
    <x v="0"/>
    <x v="1"/>
  </r>
  <r>
    <s v="ORD-1143"/>
    <s v="2021-12-15"/>
    <s v="2021-12-17"/>
    <n v="2"/>
    <s v="Arjun Mehta"/>
    <s v="Home Office"/>
    <s v="India"/>
    <s v="Mumbai"/>
    <s v="Maharashtra"/>
    <x v="1"/>
    <x v="1"/>
    <x v="4"/>
    <x v="123"/>
    <n v="1229.67"/>
    <n v="3"/>
    <n v="352"/>
    <x v="0"/>
    <x v="0"/>
  </r>
  <r>
    <s v="ORD-1144"/>
    <s v="2021-10-25"/>
    <s v="2021-10-28"/>
    <n v="3"/>
    <s v="Arjun Mehta"/>
    <s v="Consumer"/>
    <s v="India"/>
    <s v="Chennai"/>
    <s v="Tamil Nadu"/>
    <x v="3"/>
    <x v="0"/>
    <x v="0"/>
    <x v="109"/>
    <n v="906.09"/>
    <n v="10"/>
    <n v="-24.63"/>
    <x v="0"/>
    <x v="4"/>
  </r>
  <r>
    <s v="ORD-1145"/>
    <s v="2021-06-18"/>
    <s v="2021-06-22"/>
    <n v="4"/>
    <s v="Aarav Sharma"/>
    <s v="Corporate"/>
    <s v="India"/>
    <s v="Mumbai"/>
    <s v="Maharashtra"/>
    <x v="2"/>
    <x v="2"/>
    <x v="6"/>
    <x v="124"/>
    <n v="813.5"/>
    <n v="8"/>
    <n v="520.96"/>
    <x v="0"/>
    <x v="11"/>
  </r>
  <r>
    <s v="ORD-1146"/>
    <s v="2021-10-10"/>
    <s v="2021-10-15"/>
    <n v="5"/>
    <s v="Arjun Mehta"/>
    <s v="Consumer"/>
    <s v="India"/>
    <s v="Kolkata"/>
    <s v="West Bengal"/>
    <x v="2"/>
    <x v="2"/>
    <x v="6"/>
    <x v="125"/>
    <n v="523.77"/>
    <n v="9"/>
    <n v="-133.46"/>
    <x v="0"/>
    <x v="4"/>
  </r>
  <r>
    <s v="ORD-1147"/>
    <s v="2021-01-30"/>
    <s v="2021-02-02"/>
    <n v="3"/>
    <s v="Riya Patel"/>
    <s v="Corporate"/>
    <s v="India"/>
    <s v="Kolkata"/>
    <s v="West Bengal"/>
    <x v="3"/>
    <x v="0"/>
    <x v="2"/>
    <x v="126"/>
    <n v="1433.93"/>
    <n v="10"/>
    <n v="280.19"/>
    <x v="0"/>
    <x v="6"/>
  </r>
  <r>
    <s v="ORD-1148"/>
    <s v="2021-07-11"/>
    <s v="2021-07-16"/>
    <n v="5"/>
    <s v="Arjun Mehta"/>
    <s v="Consumer"/>
    <s v="India"/>
    <s v="Chennai"/>
    <s v="Tamil Nadu"/>
    <x v="3"/>
    <x v="2"/>
    <x v="6"/>
    <x v="127"/>
    <n v="678.21"/>
    <n v="3"/>
    <n v="40.450000000000003"/>
    <x v="0"/>
    <x v="10"/>
  </r>
  <r>
    <s v="ORD-1149"/>
    <s v="2021-10-25"/>
    <s v="2021-10-28"/>
    <n v="3"/>
    <s v="Karan Verma"/>
    <s v="Corporate"/>
    <s v="India"/>
    <s v="Chennai"/>
    <s v="Tamil Nadu"/>
    <x v="0"/>
    <x v="2"/>
    <x v="6"/>
    <x v="128"/>
    <n v="1218.1199999999999"/>
    <n v="6"/>
    <n v="26.68"/>
    <x v="0"/>
    <x v="4"/>
  </r>
  <r>
    <s v="ORD-1150"/>
    <s v="2021-04-27"/>
    <s v="2021-05-01"/>
    <n v="4"/>
    <s v="Meera Singh"/>
    <s v="Corporate"/>
    <s v="India"/>
    <s v="Mumbai"/>
    <s v="Maharashtra"/>
    <x v="2"/>
    <x v="0"/>
    <x v="2"/>
    <x v="129"/>
    <n v="1936.21"/>
    <n v="1"/>
    <n v="424.91"/>
    <x v="0"/>
    <x v="9"/>
  </r>
  <r>
    <s v="ORD-1151"/>
    <s v="2021-05-02"/>
    <s v="2021-05-03"/>
    <n v="1"/>
    <s v="Arjun Mehta"/>
    <s v="Consumer"/>
    <s v="India"/>
    <s v="Delhi"/>
    <s v="Delhi"/>
    <x v="0"/>
    <x v="0"/>
    <x v="8"/>
    <x v="130"/>
    <n v="102.91"/>
    <n v="6"/>
    <n v="463.07"/>
    <x v="0"/>
    <x v="1"/>
  </r>
  <r>
    <s v="ORD-1152"/>
    <s v="2021-04-15"/>
    <s v="2021-04-18"/>
    <n v="3"/>
    <s v="Aarav Sharma"/>
    <s v="Consumer"/>
    <s v="India"/>
    <s v="Bengaluru"/>
    <s v="Karnataka"/>
    <x v="0"/>
    <x v="1"/>
    <x v="4"/>
    <x v="131"/>
    <n v="1008.43"/>
    <n v="2"/>
    <n v="-171.92"/>
    <x v="0"/>
    <x v="9"/>
  </r>
  <r>
    <s v="ORD-1153"/>
    <s v="2021-11-30"/>
    <s v="2021-12-04"/>
    <n v="4"/>
    <s v="Meera Singh"/>
    <s v="Consumer"/>
    <s v="India"/>
    <s v="Kolkata"/>
    <s v="West Bengal"/>
    <x v="2"/>
    <x v="2"/>
    <x v="6"/>
    <x v="132"/>
    <n v="1508.93"/>
    <n v="1"/>
    <n v="597.91999999999996"/>
    <x v="0"/>
    <x v="5"/>
  </r>
  <r>
    <s v="ORD-1154"/>
    <s v="2021-08-15"/>
    <s v="2021-08-16"/>
    <n v="1"/>
    <s v="Riya Patel"/>
    <s v="Home Office"/>
    <s v="India"/>
    <s v="Delhi"/>
    <s v="Delhi"/>
    <x v="0"/>
    <x v="0"/>
    <x v="8"/>
    <x v="133"/>
    <n v="509.13"/>
    <n v="1"/>
    <n v="278.97000000000003"/>
    <x v="0"/>
    <x v="7"/>
  </r>
  <r>
    <s v="ORD-1155"/>
    <s v="2021-04-12"/>
    <s v="2021-04-16"/>
    <n v="4"/>
    <s v="Arjun Mehta"/>
    <s v="Home Office"/>
    <s v="India"/>
    <s v="Chennai"/>
    <s v="Tamil Nadu"/>
    <x v="1"/>
    <x v="2"/>
    <x v="6"/>
    <x v="24"/>
    <n v="1455.15"/>
    <n v="8"/>
    <n v="-154.75"/>
    <x v="0"/>
    <x v="9"/>
  </r>
  <r>
    <s v="ORD-1156"/>
    <s v="2021-01-08"/>
    <s v="2021-01-11"/>
    <n v="3"/>
    <s v="Meera Singh"/>
    <s v="Corporate"/>
    <s v="India"/>
    <s v="Chennai"/>
    <s v="Tamil Nadu"/>
    <x v="0"/>
    <x v="2"/>
    <x v="5"/>
    <x v="134"/>
    <n v="483.31"/>
    <n v="1"/>
    <n v="293.27999999999997"/>
    <x v="0"/>
    <x v="6"/>
  </r>
  <r>
    <s v="ORD-1157"/>
    <s v="2021-01-24"/>
    <s v="2021-01-27"/>
    <n v="3"/>
    <s v="Karan Verma"/>
    <s v="Corporate"/>
    <s v="India"/>
    <s v="Bengaluru"/>
    <s v="Karnataka"/>
    <x v="0"/>
    <x v="1"/>
    <x v="3"/>
    <x v="135"/>
    <n v="1489.18"/>
    <n v="3"/>
    <n v="21.13"/>
    <x v="0"/>
    <x v="6"/>
  </r>
  <r>
    <s v="ORD-1158"/>
    <s v="2021-09-10"/>
    <s v="2021-09-15"/>
    <n v="5"/>
    <s v="Meera Singh"/>
    <s v="Home Office"/>
    <s v="India"/>
    <s v="Bengaluru"/>
    <s v="Karnataka"/>
    <x v="2"/>
    <x v="2"/>
    <x v="7"/>
    <x v="136"/>
    <n v="1906.72"/>
    <n v="7"/>
    <n v="401.38"/>
    <x v="0"/>
    <x v="3"/>
  </r>
  <r>
    <s v="ORD-1159"/>
    <s v="2021-10-22"/>
    <s v="2021-10-23"/>
    <n v="1"/>
    <s v="Karan Verma"/>
    <s v="Home Office"/>
    <s v="India"/>
    <s v="Mumbai"/>
    <s v="Maharashtra"/>
    <x v="1"/>
    <x v="1"/>
    <x v="4"/>
    <x v="137"/>
    <n v="1680.13"/>
    <n v="3"/>
    <n v="612.09"/>
    <x v="0"/>
    <x v="4"/>
  </r>
  <r>
    <s v="ORD-1160"/>
    <s v="2021-01-02"/>
    <s v="2021-01-03"/>
    <n v="1"/>
    <s v="Riya Patel"/>
    <s v="Consumer"/>
    <s v="India"/>
    <s v="Bengaluru"/>
    <s v="Karnataka"/>
    <x v="3"/>
    <x v="2"/>
    <x v="6"/>
    <x v="138"/>
    <n v="603.33000000000004"/>
    <n v="3"/>
    <n v="606.38"/>
    <x v="0"/>
    <x v="6"/>
  </r>
  <r>
    <s v="ORD-1161"/>
    <s v="2021-10-17"/>
    <s v="2021-10-19"/>
    <n v="2"/>
    <s v="Karan Verma"/>
    <s v="Consumer"/>
    <s v="India"/>
    <s v="Bengaluru"/>
    <s v="Karnataka"/>
    <x v="2"/>
    <x v="1"/>
    <x v="4"/>
    <x v="79"/>
    <n v="274.58"/>
    <n v="10"/>
    <n v="311.36"/>
    <x v="0"/>
    <x v="4"/>
  </r>
  <r>
    <s v="ORD-1162"/>
    <s v="2021-08-08"/>
    <s v="2021-08-10"/>
    <n v="2"/>
    <s v="Karan Verma"/>
    <s v="Home Office"/>
    <s v="India"/>
    <s v="Mumbai"/>
    <s v="Maharashtra"/>
    <x v="1"/>
    <x v="0"/>
    <x v="8"/>
    <x v="139"/>
    <n v="706.98"/>
    <n v="7"/>
    <n v="-59.48"/>
    <x v="0"/>
    <x v="7"/>
  </r>
  <r>
    <s v="ORD-1163"/>
    <s v="2021-01-05"/>
    <s v="2021-01-06"/>
    <n v="1"/>
    <s v="Arjun Mehta"/>
    <s v="Home Office"/>
    <s v="India"/>
    <s v="Chennai"/>
    <s v="Tamil Nadu"/>
    <x v="2"/>
    <x v="2"/>
    <x v="6"/>
    <x v="140"/>
    <n v="869.49"/>
    <n v="8"/>
    <n v="-97.84"/>
    <x v="0"/>
    <x v="6"/>
  </r>
  <r>
    <s v="ORD-1164"/>
    <s v="2021-12-11"/>
    <s v="2021-12-14"/>
    <n v="3"/>
    <s v="Arjun Mehta"/>
    <s v="Home Office"/>
    <s v="India"/>
    <s v="Delhi"/>
    <s v="Delhi"/>
    <x v="3"/>
    <x v="2"/>
    <x v="5"/>
    <x v="141"/>
    <n v="149.18"/>
    <n v="7"/>
    <n v="653.91999999999996"/>
    <x v="0"/>
    <x v="0"/>
  </r>
  <r>
    <s v="ORD-1165"/>
    <s v="2021-03-21"/>
    <s v="2021-03-22"/>
    <n v="1"/>
    <s v="Meera Singh"/>
    <s v="Consumer"/>
    <s v="India"/>
    <s v="Delhi"/>
    <s v="Delhi"/>
    <x v="2"/>
    <x v="0"/>
    <x v="8"/>
    <x v="142"/>
    <n v="529.26"/>
    <n v="8"/>
    <n v="643.05999999999995"/>
    <x v="0"/>
    <x v="2"/>
  </r>
  <r>
    <s v="ORD-1166"/>
    <s v="2021-06-30"/>
    <s v="2021-07-05"/>
    <n v="5"/>
    <s v="Aarav Sharma"/>
    <s v="Corporate"/>
    <s v="India"/>
    <s v="Chennai"/>
    <s v="Tamil Nadu"/>
    <x v="2"/>
    <x v="1"/>
    <x v="3"/>
    <x v="143"/>
    <n v="990.67"/>
    <n v="4"/>
    <n v="160.18"/>
    <x v="0"/>
    <x v="11"/>
  </r>
  <r>
    <s v="ORD-1167"/>
    <s v="2021-02-13"/>
    <s v="2021-02-16"/>
    <n v="3"/>
    <s v="Aarav Sharma"/>
    <s v="Consumer"/>
    <s v="India"/>
    <s v="Mumbai"/>
    <s v="Maharashtra"/>
    <x v="3"/>
    <x v="1"/>
    <x v="1"/>
    <x v="40"/>
    <n v="1730.66"/>
    <n v="6"/>
    <n v="142.27000000000001"/>
    <x v="0"/>
    <x v="8"/>
  </r>
  <r>
    <s v="ORD-1168"/>
    <s v="2021-07-26"/>
    <s v="2021-07-30"/>
    <n v="4"/>
    <s v="Karan Verma"/>
    <s v="Consumer"/>
    <s v="India"/>
    <s v="Delhi"/>
    <s v="Delhi"/>
    <x v="1"/>
    <x v="2"/>
    <x v="7"/>
    <x v="144"/>
    <n v="755.27"/>
    <n v="8"/>
    <n v="129.15"/>
    <x v="0"/>
    <x v="10"/>
  </r>
  <r>
    <s v="ORD-1169"/>
    <s v="2021-05-08"/>
    <s v="2021-05-11"/>
    <n v="3"/>
    <s v="Aarav Sharma"/>
    <s v="Consumer"/>
    <s v="India"/>
    <s v="Chennai"/>
    <s v="Tamil Nadu"/>
    <x v="0"/>
    <x v="2"/>
    <x v="7"/>
    <x v="27"/>
    <n v="950.59"/>
    <n v="5"/>
    <n v="177.13"/>
    <x v="0"/>
    <x v="1"/>
  </r>
  <r>
    <s v="ORD-1170"/>
    <s v="2021-06-08"/>
    <s v="2021-06-13"/>
    <n v="5"/>
    <s v="Riya Patel"/>
    <s v="Corporate"/>
    <s v="India"/>
    <s v="Delhi"/>
    <s v="Delhi"/>
    <x v="1"/>
    <x v="1"/>
    <x v="1"/>
    <x v="145"/>
    <n v="163.57"/>
    <n v="10"/>
    <n v="488.43"/>
    <x v="0"/>
    <x v="11"/>
  </r>
  <r>
    <s v="ORD-1171"/>
    <s v="2021-01-12"/>
    <s v="2021-01-15"/>
    <n v="3"/>
    <s v="Riya Patel"/>
    <s v="Corporate"/>
    <s v="India"/>
    <s v="Mumbai"/>
    <s v="Maharashtra"/>
    <x v="1"/>
    <x v="1"/>
    <x v="4"/>
    <x v="29"/>
    <n v="1925.97"/>
    <n v="1"/>
    <n v="476.41"/>
    <x v="0"/>
    <x v="6"/>
  </r>
  <r>
    <s v="ORD-1172"/>
    <s v="2021-07-15"/>
    <s v="2021-07-17"/>
    <n v="2"/>
    <s v="Arjun Mehta"/>
    <s v="Consumer"/>
    <s v="India"/>
    <s v="Kolkata"/>
    <s v="West Bengal"/>
    <x v="1"/>
    <x v="0"/>
    <x v="0"/>
    <x v="146"/>
    <n v="370.24"/>
    <n v="8"/>
    <n v="317.01"/>
    <x v="0"/>
    <x v="10"/>
  </r>
  <r>
    <s v="ORD-1173"/>
    <s v="2021-12-14"/>
    <s v="2021-12-17"/>
    <n v="3"/>
    <s v="Aarav Sharma"/>
    <s v="Home Office"/>
    <s v="India"/>
    <s v="Bengaluru"/>
    <s v="Karnataka"/>
    <x v="2"/>
    <x v="2"/>
    <x v="7"/>
    <x v="102"/>
    <n v="1523.87"/>
    <n v="10"/>
    <n v="505.52"/>
    <x v="0"/>
    <x v="0"/>
  </r>
  <r>
    <s v="ORD-1174"/>
    <s v="2021-04-01"/>
    <s v="2021-04-04"/>
    <n v="3"/>
    <s v="Meera Singh"/>
    <s v="Consumer"/>
    <s v="India"/>
    <s v="Delhi"/>
    <s v="Delhi"/>
    <x v="3"/>
    <x v="2"/>
    <x v="5"/>
    <x v="49"/>
    <n v="259.87"/>
    <n v="6"/>
    <n v="645.46"/>
    <x v="0"/>
    <x v="9"/>
  </r>
  <r>
    <s v="ORD-1175"/>
    <s v="2021-07-13"/>
    <s v="2021-07-18"/>
    <n v="5"/>
    <s v="Riya Patel"/>
    <s v="Consumer"/>
    <s v="India"/>
    <s v="Bengaluru"/>
    <s v="Karnataka"/>
    <x v="3"/>
    <x v="0"/>
    <x v="0"/>
    <x v="147"/>
    <n v="742.34"/>
    <n v="9"/>
    <n v="524.82000000000005"/>
    <x v="0"/>
    <x v="10"/>
  </r>
  <r>
    <s v="ORD-1176"/>
    <s v="2021-12-17"/>
    <s v="2021-12-21"/>
    <n v="4"/>
    <s v="Meera Singh"/>
    <s v="Corporate"/>
    <s v="India"/>
    <s v="Bengaluru"/>
    <s v="Karnataka"/>
    <x v="1"/>
    <x v="0"/>
    <x v="0"/>
    <x v="148"/>
    <n v="587.38"/>
    <n v="8"/>
    <n v="104.49"/>
    <x v="0"/>
    <x v="0"/>
  </r>
  <r>
    <s v="ORD-1177"/>
    <s v="2022-01-01"/>
    <s v="2022-01-05"/>
    <n v="4"/>
    <s v="Meera Singh"/>
    <s v="Corporate"/>
    <s v="India"/>
    <s v="Kolkata"/>
    <s v="West Bengal"/>
    <x v="0"/>
    <x v="1"/>
    <x v="4"/>
    <x v="149"/>
    <n v="1464.34"/>
    <n v="9"/>
    <n v="384.55"/>
    <x v="1"/>
    <x v="6"/>
  </r>
  <r>
    <s v="ORD-1178"/>
    <s v="2021-04-05"/>
    <s v="2021-04-07"/>
    <n v="2"/>
    <s v="Karan Verma"/>
    <s v="Home Office"/>
    <s v="India"/>
    <s v="Chennai"/>
    <s v="Tamil Nadu"/>
    <x v="2"/>
    <x v="2"/>
    <x v="5"/>
    <x v="150"/>
    <n v="1760.67"/>
    <n v="4"/>
    <n v="117.93"/>
    <x v="0"/>
    <x v="9"/>
  </r>
  <r>
    <s v="ORD-1179"/>
    <s v="2021-10-21"/>
    <s v="2021-10-26"/>
    <n v="5"/>
    <s v="Riya Patel"/>
    <s v="Home Office"/>
    <s v="India"/>
    <s v="Delhi"/>
    <s v="Delhi"/>
    <x v="0"/>
    <x v="1"/>
    <x v="4"/>
    <x v="30"/>
    <n v="1075.3800000000001"/>
    <n v="6"/>
    <n v="112.15"/>
    <x v="0"/>
    <x v="4"/>
  </r>
  <r>
    <s v="ORD-1180"/>
    <s v="2021-03-19"/>
    <s v="2021-03-23"/>
    <n v="4"/>
    <s v="Meera Singh"/>
    <s v="Consumer"/>
    <s v="India"/>
    <s v="Delhi"/>
    <s v="Delhi"/>
    <x v="3"/>
    <x v="1"/>
    <x v="1"/>
    <x v="22"/>
    <n v="626.08000000000004"/>
    <n v="10"/>
    <n v="427.85"/>
    <x v="0"/>
    <x v="2"/>
  </r>
  <r>
    <s v="ORD-1181"/>
    <s v="2021-07-31"/>
    <s v="2021-08-01"/>
    <n v="1"/>
    <s v="Arjun Mehta"/>
    <s v="Corporate"/>
    <s v="India"/>
    <s v="Bengaluru"/>
    <s v="Karnataka"/>
    <x v="3"/>
    <x v="2"/>
    <x v="5"/>
    <x v="151"/>
    <n v="1015.85"/>
    <n v="10"/>
    <n v="652.99"/>
    <x v="0"/>
    <x v="10"/>
  </r>
  <r>
    <s v="ORD-1182"/>
    <s v="2021-04-17"/>
    <s v="2021-04-19"/>
    <n v="2"/>
    <s v="Riya Patel"/>
    <s v="Consumer"/>
    <s v="India"/>
    <s v="Mumbai"/>
    <s v="Maharashtra"/>
    <x v="3"/>
    <x v="1"/>
    <x v="1"/>
    <x v="152"/>
    <n v="369.23"/>
    <n v="7"/>
    <n v="500.63"/>
    <x v="0"/>
    <x v="9"/>
  </r>
  <r>
    <s v="ORD-1183"/>
    <s v="2021-10-31"/>
    <s v="2021-11-04"/>
    <n v="4"/>
    <s v="Meera Singh"/>
    <s v="Consumer"/>
    <s v="India"/>
    <s v="Delhi"/>
    <s v="Delhi"/>
    <x v="1"/>
    <x v="0"/>
    <x v="8"/>
    <x v="91"/>
    <n v="705"/>
    <n v="3"/>
    <n v="290.97000000000003"/>
    <x v="0"/>
    <x v="4"/>
  </r>
  <r>
    <s v="ORD-1184"/>
    <s v="2021-10-26"/>
    <s v="2021-10-28"/>
    <n v="2"/>
    <s v="Arjun Mehta"/>
    <s v="Home Office"/>
    <s v="India"/>
    <s v="Bengaluru"/>
    <s v="Karnataka"/>
    <x v="3"/>
    <x v="1"/>
    <x v="3"/>
    <x v="48"/>
    <n v="739.41"/>
    <n v="7"/>
    <n v="70.67"/>
    <x v="0"/>
    <x v="4"/>
  </r>
  <r>
    <s v="ORD-1185"/>
    <s v="2021-07-25"/>
    <s v="2021-07-29"/>
    <n v="4"/>
    <s v="Arjun Mehta"/>
    <s v="Home Office"/>
    <s v="India"/>
    <s v="Delhi"/>
    <s v="Delhi"/>
    <x v="0"/>
    <x v="0"/>
    <x v="0"/>
    <x v="23"/>
    <n v="1580.47"/>
    <n v="3"/>
    <n v="640.89"/>
    <x v="0"/>
    <x v="10"/>
  </r>
  <r>
    <s v="ORD-1186"/>
    <s v="2021-03-16"/>
    <s v="2021-03-18"/>
    <n v="2"/>
    <s v="Aarav Sharma"/>
    <s v="Home Office"/>
    <s v="India"/>
    <s v="Bengaluru"/>
    <s v="Karnataka"/>
    <x v="2"/>
    <x v="2"/>
    <x v="6"/>
    <x v="60"/>
    <n v="996.97"/>
    <n v="8"/>
    <n v="451.41"/>
    <x v="0"/>
    <x v="2"/>
  </r>
  <r>
    <s v="ORD-1187"/>
    <s v="2021-12-19"/>
    <s v="2021-12-24"/>
    <n v="5"/>
    <s v="Riya Patel"/>
    <s v="Consumer"/>
    <s v="India"/>
    <s v="Kolkata"/>
    <s v="West Bengal"/>
    <x v="3"/>
    <x v="1"/>
    <x v="1"/>
    <x v="22"/>
    <n v="1290.01"/>
    <n v="4"/>
    <n v="685.06"/>
    <x v="0"/>
    <x v="0"/>
  </r>
  <r>
    <s v="ORD-1188"/>
    <s v="2021-10-05"/>
    <s v="2021-10-07"/>
    <n v="2"/>
    <s v="Riya Patel"/>
    <s v="Home Office"/>
    <s v="India"/>
    <s v="Delhi"/>
    <s v="Delhi"/>
    <x v="0"/>
    <x v="0"/>
    <x v="8"/>
    <x v="153"/>
    <n v="913.2"/>
    <n v="6"/>
    <n v="651.41"/>
    <x v="0"/>
    <x v="4"/>
  </r>
  <r>
    <s v="ORD-1189"/>
    <s v="2021-05-16"/>
    <s v="2021-05-21"/>
    <n v="5"/>
    <s v="Aarav Sharma"/>
    <s v="Home Office"/>
    <s v="India"/>
    <s v="Chennai"/>
    <s v="Tamil Nadu"/>
    <x v="3"/>
    <x v="1"/>
    <x v="3"/>
    <x v="117"/>
    <n v="726.54"/>
    <n v="5"/>
    <n v="17"/>
    <x v="0"/>
    <x v="1"/>
  </r>
  <r>
    <s v="ORD-1190"/>
    <s v="2021-07-10"/>
    <s v="2021-07-11"/>
    <n v="1"/>
    <s v="Arjun Mehta"/>
    <s v="Corporate"/>
    <s v="India"/>
    <s v="Delhi"/>
    <s v="Delhi"/>
    <x v="0"/>
    <x v="0"/>
    <x v="2"/>
    <x v="154"/>
    <n v="1427.63"/>
    <n v="7"/>
    <n v="118.01"/>
    <x v="0"/>
    <x v="10"/>
  </r>
  <r>
    <s v="ORD-1191"/>
    <s v="2021-05-05"/>
    <s v="2021-05-06"/>
    <n v="1"/>
    <s v="Karan Verma"/>
    <s v="Consumer"/>
    <s v="India"/>
    <s v="Mumbai"/>
    <s v="Maharashtra"/>
    <x v="3"/>
    <x v="2"/>
    <x v="6"/>
    <x v="24"/>
    <n v="1296.02"/>
    <n v="6"/>
    <n v="149.32"/>
    <x v="0"/>
    <x v="1"/>
  </r>
  <r>
    <s v="ORD-1192"/>
    <s v="2021-02-23"/>
    <s v="2021-02-27"/>
    <n v="4"/>
    <s v="Meera Singh"/>
    <s v="Home Office"/>
    <s v="India"/>
    <s v="Kolkata"/>
    <s v="West Bengal"/>
    <x v="2"/>
    <x v="0"/>
    <x v="0"/>
    <x v="23"/>
    <n v="1979.3"/>
    <n v="1"/>
    <n v="158.24"/>
    <x v="0"/>
    <x v="8"/>
  </r>
  <r>
    <s v="ORD-1193"/>
    <s v="2021-04-23"/>
    <s v="2021-04-24"/>
    <n v="1"/>
    <s v="Karan Verma"/>
    <s v="Consumer"/>
    <s v="India"/>
    <s v="Chennai"/>
    <s v="Tamil Nadu"/>
    <x v="1"/>
    <x v="2"/>
    <x v="7"/>
    <x v="155"/>
    <n v="1381.59"/>
    <n v="5"/>
    <n v="-107.72"/>
    <x v="0"/>
    <x v="9"/>
  </r>
  <r>
    <s v="ORD-1194"/>
    <s v="2021-11-04"/>
    <s v="2021-11-08"/>
    <n v="4"/>
    <s v="Aarav Sharma"/>
    <s v="Consumer"/>
    <s v="India"/>
    <s v="Mumbai"/>
    <s v="Maharashtra"/>
    <x v="3"/>
    <x v="2"/>
    <x v="7"/>
    <x v="102"/>
    <n v="1313.7"/>
    <n v="3"/>
    <n v="-11.85"/>
    <x v="0"/>
    <x v="5"/>
  </r>
  <r>
    <s v="ORD-1195"/>
    <s v="2021-05-17"/>
    <s v="2021-05-20"/>
    <n v="3"/>
    <s v="Riya Patel"/>
    <s v="Home Office"/>
    <s v="India"/>
    <s v="Chennai"/>
    <s v="Tamil Nadu"/>
    <x v="1"/>
    <x v="1"/>
    <x v="3"/>
    <x v="32"/>
    <n v="187.18"/>
    <n v="10"/>
    <n v="218.25"/>
    <x v="0"/>
    <x v="1"/>
  </r>
  <r>
    <s v="ORD-1196"/>
    <s v="2021-10-03"/>
    <s v="2021-10-08"/>
    <n v="5"/>
    <s v="Aarav Sharma"/>
    <s v="Consumer"/>
    <s v="India"/>
    <s v="Mumbai"/>
    <s v="Maharashtra"/>
    <x v="2"/>
    <x v="0"/>
    <x v="8"/>
    <x v="156"/>
    <n v="1163.58"/>
    <n v="7"/>
    <n v="233.54"/>
    <x v="0"/>
    <x v="4"/>
  </r>
  <r>
    <s v="ORD-1197"/>
    <s v="2021-05-18"/>
    <s v="2021-05-19"/>
    <n v="1"/>
    <s v="Aarav Sharma"/>
    <s v="Corporate"/>
    <s v="India"/>
    <s v="Mumbai"/>
    <s v="Maharashtra"/>
    <x v="2"/>
    <x v="2"/>
    <x v="7"/>
    <x v="102"/>
    <n v="1671.67"/>
    <n v="3"/>
    <n v="250.36"/>
    <x v="0"/>
    <x v="1"/>
  </r>
  <r>
    <s v="ORD-1198"/>
    <s v="2021-06-13"/>
    <s v="2021-06-16"/>
    <n v="3"/>
    <s v="Karan Verma"/>
    <s v="Corporate"/>
    <s v="India"/>
    <s v="Kolkata"/>
    <s v="West Bengal"/>
    <x v="0"/>
    <x v="1"/>
    <x v="4"/>
    <x v="157"/>
    <n v="1310.53"/>
    <n v="5"/>
    <n v="439.53"/>
    <x v="0"/>
    <x v="11"/>
  </r>
  <r>
    <s v="ORD-1199"/>
    <s v="2021-10-12"/>
    <s v="2021-10-15"/>
    <n v="3"/>
    <s v="Arjun Mehta"/>
    <s v="Home Office"/>
    <s v="India"/>
    <s v="Delhi"/>
    <s v="Delhi"/>
    <x v="3"/>
    <x v="0"/>
    <x v="0"/>
    <x v="158"/>
    <n v="859.16"/>
    <n v="7"/>
    <n v="358.24"/>
    <x v="0"/>
    <x v="4"/>
  </r>
  <r>
    <m/>
    <m/>
    <m/>
    <m/>
    <m/>
    <m/>
    <m/>
    <m/>
    <m/>
    <x v="4"/>
    <x v="3"/>
    <x v="9"/>
    <x v="159"/>
    <m/>
    <m/>
    <m/>
    <x v="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1CAF10-9C79-441B-A416-3351BD438C47}"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61">
        <item x="68"/>
        <item x="121"/>
        <item x="118"/>
        <item x="72"/>
        <item x="17"/>
        <item x="154"/>
        <item x="46"/>
        <item x="64"/>
        <item x="126"/>
        <item x="96"/>
        <item x="129"/>
        <item x="2"/>
        <item x="86"/>
        <item x="102"/>
        <item x="58"/>
        <item x="55"/>
        <item x="93"/>
        <item x="27"/>
        <item x="26"/>
        <item x="99"/>
        <item x="83"/>
        <item x="136"/>
        <item x="70"/>
        <item x="103"/>
        <item x="85"/>
        <item x="144"/>
        <item x="16"/>
        <item x="54"/>
        <item x="62"/>
        <item x="8"/>
        <item x="155"/>
        <item x="74"/>
        <item x="119"/>
        <item x="73"/>
        <item x="48"/>
        <item x="32"/>
        <item x="53"/>
        <item x="4"/>
        <item x="12"/>
        <item x="101"/>
        <item x="143"/>
        <item x="122"/>
        <item x="108"/>
        <item x="117"/>
        <item x="28"/>
        <item x="37"/>
        <item x="19"/>
        <item x="135"/>
        <item x="42"/>
        <item x="13"/>
        <item x="29"/>
        <item x="63"/>
        <item x="149"/>
        <item x="30"/>
        <item x="97"/>
        <item x="106"/>
        <item x="113"/>
        <item x="41"/>
        <item x="67"/>
        <item x="21"/>
        <item x="14"/>
        <item x="50"/>
        <item x="20"/>
        <item x="5"/>
        <item x="123"/>
        <item x="137"/>
        <item x="157"/>
        <item x="120"/>
        <item x="79"/>
        <item x="59"/>
        <item x="65"/>
        <item x="88"/>
        <item x="131"/>
        <item x="15"/>
        <item x="111"/>
        <item x="147"/>
        <item x="148"/>
        <item x="23"/>
        <item x="38"/>
        <item x="158"/>
        <item x="0"/>
        <item x="3"/>
        <item x="146"/>
        <item x="31"/>
        <item x="109"/>
        <item x="95"/>
        <item x="134"/>
        <item x="44"/>
        <item x="69"/>
        <item x="110"/>
        <item x="56"/>
        <item x="150"/>
        <item x="76"/>
        <item x="115"/>
        <item x="87"/>
        <item x="104"/>
        <item x="116"/>
        <item x="6"/>
        <item x="25"/>
        <item x="49"/>
        <item x="80"/>
        <item x="52"/>
        <item x="151"/>
        <item x="98"/>
        <item x="141"/>
        <item x="77"/>
        <item x="71"/>
        <item x="61"/>
        <item x="75"/>
        <item x="57"/>
        <item x="11"/>
        <item x="139"/>
        <item x="142"/>
        <item x="153"/>
        <item x="130"/>
        <item x="133"/>
        <item x="43"/>
        <item x="91"/>
        <item x="156"/>
        <item x="45"/>
        <item x="10"/>
        <item x="18"/>
        <item x="89"/>
        <item x="82"/>
        <item x="124"/>
        <item x="125"/>
        <item x="84"/>
        <item x="35"/>
        <item x="51"/>
        <item x="128"/>
        <item x="7"/>
        <item x="127"/>
        <item x="60"/>
        <item x="36"/>
        <item x="66"/>
        <item x="132"/>
        <item x="81"/>
        <item x="138"/>
        <item x="107"/>
        <item x="24"/>
        <item x="140"/>
        <item x="9"/>
        <item x="112"/>
        <item x="40"/>
        <item x="39"/>
        <item x="152"/>
        <item x="78"/>
        <item x="22"/>
        <item x="92"/>
        <item x="34"/>
        <item x="47"/>
        <item x="114"/>
        <item x="33"/>
        <item x="100"/>
        <item x="105"/>
        <item x="94"/>
        <item x="145"/>
        <item x="90"/>
        <item x="1"/>
        <item x="159"/>
        <item t="default"/>
      </items>
    </pivotField>
    <pivotField dataField="1" showAll="0"/>
    <pivotField showAll="0"/>
    <pivotField showAll="0"/>
    <pivotField showAll="0"/>
    <pivotField showAll="0"/>
  </pivotFields>
  <rowFields count="1">
    <field x="12"/>
  </rowFields>
  <rowItems count="11">
    <i>
      <x v="13"/>
    </i>
    <i>
      <x v="17"/>
    </i>
    <i>
      <x v="34"/>
    </i>
    <i>
      <x v="50"/>
    </i>
    <i>
      <x v="53"/>
    </i>
    <i>
      <x v="77"/>
    </i>
    <i>
      <x v="85"/>
    </i>
    <i>
      <x v="132"/>
    </i>
    <i>
      <x v="139"/>
    </i>
    <i>
      <x v="147"/>
    </i>
    <i t="grand">
      <x/>
    </i>
  </rowItems>
  <colItems count="1">
    <i/>
  </colItems>
  <dataFields count="1">
    <dataField name="Sum of Sales" fld="13" baseField="12"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9B35D-3D86-4DAF-BBB9-9809ED8AEAA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dataField="1"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Sales"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4E139-A914-4320-BAC8-6592CDF36AD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items count="11">
        <item x="2"/>
        <item x="7"/>
        <item x="3"/>
        <item x="4"/>
        <item x="0"/>
        <item x="5"/>
        <item x="8"/>
        <item x="6"/>
        <item x="1"/>
        <item x="9"/>
        <item t="default"/>
      </items>
    </pivotField>
    <pivotField showAll="0"/>
    <pivotField showAll="0"/>
    <pivotField showAll="0"/>
    <pivotField dataField="1" showAll="0"/>
    <pivotField showAll="0"/>
    <pivotField showAll="0"/>
  </pivotFields>
  <rowFields count="1">
    <field x="11"/>
  </rowFields>
  <rowItems count="11">
    <i>
      <x/>
    </i>
    <i>
      <x v="1"/>
    </i>
    <i>
      <x v="2"/>
    </i>
    <i>
      <x v="3"/>
    </i>
    <i>
      <x v="4"/>
    </i>
    <i>
      <x v="5"/>
    </i>
    <i>
      <x v="6"/>
    </i>
    <i>
      <x v="7"/>
    </i>
    <i>
      <x v="8"/>
    </i>
    <i>
      <x v="9"/>
    </i>
    <i t="grand">
      <x/>
    </i>
  </rowItems>
  <colItems count="1">
    <i/>
  </colItems>
  <dataFields count="1">
    <dataField name="Sum of Profit" fld="1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A8ECF-C7CE-4FF2-BAF4-26D3FAFC358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4">
        <item x="6"/>
        <item x="8"/>
        <item x="2"/>
        <item x="9"/>
        <item x="1"/>
        <item x="11"/>
        <item x="10"/>
        <item x="7"/>
        <item x="3"/>
        <item x="4"/>
        <item x="5"/>
        <item x="0"/>
        <item x="12"/>
        <item t="default"/>
      </items>
    </pivotField>
  </pivotFields>
  <rowFields count="1">
    <field x="17"/>
  </rowFields>
  <rowItems count="14">
    <i>
      <x/>
    </i>
    <i>
      <x v="1"/>
    </i>
    <i>
      <x v="2"/>
    </i>
    <i>
      <x v="3"/>
    </i>
    <i>
      <x v="4"/>
    </i>
    <i>
      <x v="5"/>
    </i>
    <i>
      <x v="6"/>
    </i>
    <i>
      <x v="7"/>
    </i>
    <i>
      <x v="8"/>
    </i>
    <i>
      <x v="9"/>
    </i>
    <i>
      <x v="10"/>
    </i>
    <i>
      <x v="11"/>
    </i>
    <i>
      <x v="12"/>
    </i>
    <i t="grand">
      <x/>
    </i>
  </rowItems>
  <colItems count="1">
    <i/>
  </colItems>
  <dataFields count="1">
    <dataField name="Sum of Sales"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962958-A08F-4AD0-B18B-3B2095551B8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8">
    <pivotField showAll="0"/>
    <pivotField showAll="0"/>
    <pivotField showAll="0"/>
    <pivotField showAll="0"/>
    <pivotField showAll="0"/>
    <pivotField showAll="0"/>
    <pivotField showAll="0"/>
    <pivotField showAll="0"/>
    <pivotField showAll="0"/>
    <pivotField showAll="0">
      <items count="6">
        <item h="1" x="2"/>
        <item x="0"/>
        <item h="1" x="1"/>
        <item h="1" x="3"/>
        <item h="1" x="4"/>
        <item t="default"/>
      </items>
    </pivotField>
    <pivotField axis="axisRow" showAll="0">
      <items count="5">
        <item x="1"/>
        <item x="2"/>
        <item x="0"/>
        <item x="3"/>
        <item t="default"/>
      </items>
    </pivotField>
    <pivotField showAll="0"/>
    <pivotField showAll="0"/>
    <pivotField dataField="1" showAll="0"/>
    <pivotField showAll="0"/>
    <pivotField showAll="0"/>
    <pivotField showAll="0">
      <items count="4">
        <item x="0"/>
        <item h="1" x="1"/>
        <item h="1" x="2"/>
        <item t="default"/>
      </items>
    </pivotField>
    <pivotField showAll="0"/>
  </pivotFields>
  <rowFields count="1">
    <field x="10"/>
  </rowFields>
  <rowItems count="4">
    <i>
      <x/>
    </i>
    <i>
      <x v="1"/>
    </i>
    <i>
      <x v="2"/>
    </i>
    <i t="grand">
      <x/>
    </i>
  </rowItems>
  <colItems count="1">
    <i/>
  </colItems>
  <dataFields count="1">
    <dataField name="Sum of Sales"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E9E1E8-29EE-41A5-BC62-C37C439698C8}" sourceName="Region">
  <pivotTables>
    <pivotTable tabId="2" name="PivotTable1"/>
  </pivotTables>
  <data>
    <tabular pivotCacheId="676441847">
      <items count="5">
        <i x="2"/>
        <i x="0" s="1"/>
        <i x="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FE8E18-F16E-45DB-AE0F-BAABF977F6AD}" sourceName="Category">
  <pivotTables>
    <pivotTable tabId="2" name="PivotTable1"/>
  </pivotTables>
  <data>
    <tabular pivotCacheId="676441847">
      <items count="4">
        <i x="1"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E45799-8653-421B-8F18-B5F130A8F5D3}" sourceName="Year">
  <pivotTables>
    <pivotTable tabId="2" name="PivotTable1"/>
  </pivotTables>
  <data>
    <tabular pivotCacheId="676441847">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1AB685-73B2-4F9A-B023-E4B36574E8A1}" cache="Slicer_Region" caption="Region" rowHeight="241300"/>
  <slicer name="Category" xr10:uid="{09BC596F-0FF5-4C29-BF82-7A1C593308B0}" cache="Slicer_Category" caption="Category" rowHeight="241300"/>
  <slicer name="Year" xr10:uid="{4799DE71-7A49-451E-92EE-D8185107F54E}"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workbookViewId="0">
      <selection activeCell="D14" sqref="D14"/>
    </sheetView>
  </sheetViews>
  <sheetFormatPr defaultRowHeight="14.5" x14ac:dyDescent="0.35"/>
  <cols>
    <col min="1" max="1" width="11.36328125" customWidth="1"/>
    <col min="2" max="2" width="10.453125" style="1" customWidth="1"/>
    <col min="3" max="3" width="9.90625" style="1" customWidth="1"/>
    <col min="4" max="4" width="12.90625" style="1" customWidth="1"/>
    <col min="5" max="5" width="11.08984375" customWidth="1"/>
    <col min="6" max="6" width="10.7265625" customWidth="1"/>
  </cols>
  <sheetData>
    <row r="1" spans="1:18" x14ac:dyDescent="0.35">
      <c r="A1" t="s">
        <v>0</v>
      </c>
      <c r="B1" s="1" t="s">
        <v>1</v>
      </c>
      <c r="C1" s="1" t="s">
        <v>2</v>
      </c>
      <c r="D1" s="1" t="s">
        <v>655</v>
      </c>
      <c r="E1" t="s">
        <v>3</v>
      </c>
      <c r="F1" t="s">
        <v>4</v>
      </c>
      <c r="G1" t="s">
        <v>5</v>
      </c>
      <c r="H1" t="s">
        <v>6</v>
      </c>
      <c r="I1" t="s">
        <v>7</v>
      </c>
      <c r="J1" t="s">
        <v>8</v>
      </c>
      <c r="K1" t="s">
        <v>9</v>
      </c>
      <c r="L1" t="s">
        <v>10</v>
      </c>
      <c r="M1" s="2" t="s">
        <v>11</v>
      </c>
      <c r="N1" t="s">
        <v>12</v>
      </c>
      <c r="O1" t="s">
        <v>13</v>
      </c>
      <c r="P1" s="3" t="s">
        <v>14</v>
      </c>
      <c r="Q1" t="s">
        <v>656</v>
      </c>
      <c r="R1" t="s">
        <v>657</v>
      </c>
    </row>
    <row r="2" spans="1:18" x14ac:dyDescent="0.35">
      <c r="A2" t="s">
        <v>15</v>
      </c>
      <c r="B2" s="1" t="s">
        <v>16</v>
      </c>
      <c r="C2" s="1" t="s">
        <v>17</v>
      </c>
      <c r="D2" s="1">
        <f>C2-B2</f>
        <v>4</v>
      </c>
      <c r="E2" t="s">
        <v>18</v>
      </c>
      <c r="F2" t="s">
        <v>19</v>
      </c>
      <c r="G2" t="s">
        <v>20</v>
      </c>
      <c r="H2" t="s">
        <v>21</v>
      </c>
      <c r="I2" t="s">
        <v>22</v>
      </c>
      <c r="J2" t="s">
        <v>23</v>
      </c>
      <c r="K2" t="s">
        <v>24</v>
      </c>
      <c r="L2" t="s">
        <v>25</v>
      </c>
      <c r="M2" t="s">
        <v>26</v>
      </c>
      <c r="N2">
        <v>266.98</v>
      </c>
      <c r="O2">
        <v>9</v>
      </c>
      <c r="P2">
        <v>171.58</v>
      </c>
      <c r="Q2">
        <f>YEAR(B2)</f>
        <v>2021</v>
      </c>
      <c r="R2" t="str">
        <f>TEXT(B2,"MMM")</f>
        <v>Dec</v>
      </c>
    </row>
    <row r="3" spans="1:18" x14ac:dyDescent="0.35">
      <c r="A3" t="s">
        <v>27</v>
      </c>
      <c r="B3" s="1" t="s">
        <v>28</v>
      </c>
      <c r="C3" s="1" t="s">
        <v>29</v>
      </c>
      <c r="D3" s="1">
        <f t="shared" ref="D3:D66" si="0">C3-B3</f>
        <v>2</v>
      </c>
      <c r="E3" t="s">
        <v>30</v>
      </c>
      <c r="F3" t="s">
        <v>31</v>
      </c>
      <c r="G3" t="s">
        <v>20</v>
      </c>
      <c r="H3" t="s">
        <v>21</v>
      </c>
      <c r="I3" t="s">
        <v>22</v>
      </c>
      <c r="J3" t="s">
        <v>23</v>
      </c>
      <c r="K3" t="s">
        <v>32</v>
      </c>
      <c r="L3" t="s">
        <v>33</v>
      </c>
      <c r="M3" t="s">
        <v>34</v>
      </c>
      <c r="N3">
        <v>153.85</v>
      </c>
      <c r="O3">
        <v>1</v>
      </c>
      <c r="P3">
        <v>391.67</v>
      </c>
      <c r="Q3">
        <f t="shared" ref="Q3:Q66" si="1">YEAR(B3)</f>
        <v>2021</v>
      </c>
      <c r="R3" t="str">
        <f t="shared" ref="R3:R66" si="2">TEXT(B3,"MMM")</f>
        <v>May</v>
      </c>
    </row>
    <row r="4" spans="1:18" x14ac:dyDescent="0.35">
      <c r="A4" t="s">
        <v>35</v>
      </c>
      <c r="B4" s="1" t="s">
        <v>36</v>
      </c>
      <c r="C4" s="1" t="s">
        <v>37</v>
      </c>
      <c r="D4" s="1">
        <f t="shared" si="0"/>
        <v>3</v>
      </c>
      <c r="E4" t="s">
        <v>38</v>
      </c>
      <c r="F4" t="s">
        <v>19</v>
      </c>
      <c r="G4" t="s">
        <v>20</v>
      </c>
      <c r="H4" t="s">
        <v>39</v>
      </c>
      <c r="I4" t="s">
        <v>40</v>
      </c>
      <c r="J4" t="s">
        <v>41</v>
      </c>
      <c r="K4" t="s">
        <v>24</v>
      </c>
      <c r="L4" t="s">
        <v>42</v>
      </c>
      <c r="M4" t="s">
        <v>43</v>
      </c>
      <c r="N4">
        <v>76.81</v>
      </c>
      <c r="O4">
        <v>3</v>
      </c>
      <c r="P4">
        <v>-46.97</v>
      </c>
      <c r="Q4">
        <f t="shared" si="1"/>
        <v>2021</v>
      </c>
      <c r="R4" t="str">
        <f t="shared" si="2"/>
        <v>Mar</v>
      </c>
    </row>
    <row r="5" spans="1:18" x14ac:dyDescent="0.35">
      <c r="A5" t="s">
        <v>44</v>
      </c>
      <c r="B5" s="1" t="s">
        <v>45</v>
      </c>
      <c r="C5" s="1" t="s">
        <v>46</v>
      </c>
      <c r="D5" s="1">
        <f t="shared" si="0"/>
        <v>1</v>
      </c>
      <c r="E5" t="s">
        <v>30</v>
      </c>
      <c r="F5" t="s">
        <v>31</v>
      </c>
      <c r="G5" t="s">
        <v>20</v>
      </c>
      <c r="H5" t="s">
        <v>47</v>
      </c>
      <c r="I5" t="s">
        <v>48</v>
      </c>
      <c r="J5" t="s">
        <v>41</v>
      </c>
      <c r="K5" t="s">
        <v>24</v>
      </c>
      <c r="L5" t="s">
        <v>25</v>
      </c>
      <c r="M5" t="s">
        <v>49</v>
      </c>
      <c r="N5">
        <v>331.94</v>
      </c>
      <c r="O5">
        <v>2</v>
      </c>
      <c r="P5">
        <v>-170.61</v>
      </c>
      <c r="Q5">
        <f t="shared" si="1"/>
        <v>2021</v>
      </c>
      <c r="R5" t="str">
        <f t="shared" si="2"/>
        <v>Sep</v>
      </c>
    </row>
    <row r="6" spans="1:18" x14ac:dyDescent="0.35">
      <c r="A6" t="s">
        <v>50</v>
      </c>
      <c r="B6" s="1" t="s">
        <v>51</v>
      </c>
      <c r="C6" s="1" t="s">
        <v>52</v>
      </c>
      <c r="D6" s="1">
        <f t="shared" si="0"/>
        <v>2</v>
      </c>
      <c r="E6" t="s">
        <v>30</v>
      </c>
      <c r="F6" t="s">
        <v>19</v>
      </c>
      <c r="G6" t="s">
        <v>20</v>
      </c>
      <c r="H6" t="s">
        <v>53</v>
      </c>
      <c r="I6" t="s">
        <v>54</v>
      </c>
      <c r="J6" t="s">
        <v>41</v>
      </c>
      <c r="K6" t="s">
        <v>32</v>
      </c>
      <c r="L6" t="s">
        <v>55</v>
      </c>
      <c r="M6" t="s">
        <v>56</v>
      </c>
      <c r="N6">
        <v>1192</v>
      </c>
      <c r="O6">
        <v>10</v>
      </c>
      <c r="P6">
        <v>216.75</v>
      </c>
      <c r="Q6">
        <f t="shared" si="1"/>
        <v>2021</v>
      </c>
      <c r="R6" t="str">
        <f t="shared" si="2"/>
        <v>Oct</v>
      </c>
    </row>
    <row r="7" spans="1:18" x14ac:dyDescent="0.35">
      <c r="A7" t="s">
        <v>57</v>
      </c>
      <c r="B7" s="1" t="s">
        <v>58</v>
      </c>
      <c r="C7" s="1" t="s">
        <v>59</v>
      </c>
      <c r="D7" s="1">
        <f t="shared" si="0"/>
        <v>1</v>
      </c>
      <c r="E7" t="s">
        <v>60</v>
      </c>
      <c r="F7" t="s">
        <v>19</v>
      </c>
      <c r="G7" t="s">
        <v>20</v>
      </c>
      <c r="H7" t="s">
        <v>21</v>
      </c>
      <c r="I7" t="s">
        <v>22</v>
      </c>
      <c r="J7" t="s">
        <v>23</v>
      </c>
      <c r="K7" t="s">
        <v>32</v>
      </c>
      <c r="L7" t="s">
        <v>61</v>
      </c>
      <c r="M7" t="s">
        <v>62</v>
      </c>
      <c r="N7">
        <v>653.85</v>
      </c>
      <c r="O7">
        <v>7</v>
      </c>
      <c r="P7">
        <v>518.01</v>
      </c>
      <c r="Q7">
        <f t="shared" si="1"/>
        <v>2021</v>
      </c>
      <c r="R7" t="str">
        <f t="shared" si="2"/>
        <v>Nov</v>
      </c>
    </row>
    <row r="8" spans="1:18" x14ac:dyDescent="0.35">
      <c r="A8" t="s">
        <v>63</v>
      </c>
      <c r="B8" s="1" t="s">
        <v>64</v>
      </c>
      <c r="C8" s="1" t="s">
        <v>65</v>
      </c>
      <c r="D8" s="1">
        <f t="shared" si="0"/>
        <v>1</v>
      </c>
      <c r="E8" t="s">
        <v>60</v>
      </c>
      <c r="F8" t="s">
        <v>19</v>
      </c>
      <c r="G8" t="s">
        <v>20</v>
      </c>
      <c r="H8" t="s">
        <v>53</v>
      </c>
      <c r="I8" t="s">
        <v>54</v>
      </c>
      <c r="J8" t="s">
        <v>23</v>
      </c>
      <c r="K8" t="s">
        <v>66</v>
      </c>
      <c r="L8" t="s">
        <v>67</v>
      </c>
      <c r="M8" t="s">
        <v>68</v>
      </c>
      <c r="N8">
        <v>116.31</v>
      </c>
      <c r="O8">
        <v>6</v>
      </c>
      <c r="P8">
        <v>479.93</v>
      </c>
      <c r="Q8">
        <f t="shared" si="1"/>
        <v>2021</v>
      </c>
      <c r="R8" t="str">
        <f t="shared" si="2"/>
        <v>Jan</v>
      </c>
    </row>
    <row r="9" spans="1:18" x14ac:dyDescent="0.35">
      <c r="A9" t="s">
        <v>69</v>
      </c>
      <c r="B9" s="1" t="s">
        <v>70</v>
      </c>
      <c r="C9" s="1" t="s">
        <v>71</v>
      </c>
      <c r="D9" s="1">
        <f t="shared" si="0"/>
        <v>5</v>
      </c>
      <c r="E9" t="s">
        <v>60</v>
      </c>
      <c r="F9" t="s">
        <v>72</v>
      </c>
      <c r="G9" t="s">
        <v>20</v>
      </c>
      <c r="H9" t="s">
        <v>39</v>
      </c>
      <c r="I9" t="s">
        <v>40</v>
      </c>
      <c r="J9" t="s">
        <v>73</v>
      </c>
      <c r="K9" t="s">
        <v>66</v>
      </c>
      <c r="L9" t="s">
        <v>74</v>
      </c>
      <c r="M9" t="s">
        <v>75</v>
      </c>
      <c r="N9">
        <v>430.56</v>
      </c>
      <c r="O9">
        <v>10</v>
      </c>
      <c r="P9">
        <v>222.83</v>
      </c>
      <c r="Q9">
        <f t="shared" si="1"/>
        <v>2021</v>
      </c>
      <c r="R9" t="str">
        <f t="shared" si="2"/>
        <v>Aug</v>
      </c>
    </row>
    <row r="10" spans="1:18" x14ac:dyDescent="0.35">
      <c r="A10" t="s">
        <v>76</v>
      </c>
      <c r="B10" s="1" t="s">
        <v>77</v>
      </c>
      <c r="C10" s="1" t="s">
        <v>78</v>
      </c>
      <c r="D10" s="1">
        <f t="shared" si="0"/>
        <v>1</v>
      </c>
      <c r="E10" t="s">
        <v>38</v>
      </c>
      <c r="F10" t="s">
        <v>19</v>
      </c>
      <c r="G10" t="s">
        <v>20</v>
      </c>
      <c r="H10" t="s">
        <v>53</v>
      </c>
      <c r="I10" t="s">
        <v>54</v>
      </c>
      <c r="J10" t="s">
        <v>79</v>
      </c>
      <c r="K10" t="s">
        <v>66</v>
      </c>
      <c r="L10" t="s">
        <v>80</v>
      </c>
      <c r="M10" t="s">
        <v>81</v>
      </c>
      <c r="N10">
        <v>365.96</v>
      </c>
      <c r="O10">
        <v>2</v>
      </c>
      <c r="P10">
        <v>-181.81</v>
      </c>
      <c r="Q10">
        <f t="shared" si="1"/>
        <v>2021</v>
      </c>
      <c r="R10" t="str">
        <f t="shared" si="2"/>
        <v>Aug</v>
      </c>
    </row>
    <row r="11" spans="1:18" x14ac:dyDescent="0.35">
      <c r="A11" t="s">
        <v>82</v>
      </c>
      <c r="B11" s="1" t="s">
        <v>83</v>
      </c>
      <c r="C11" s="1" t="s">
        <v>84</v>
      </c>
      <c r="D11" s="1">
        <f t="shared" si="0"/>
        <v>3</v>
      </c>
      <c r="E11" t="s">
        <v>18</v>
      </c>
      <c r="F11" t="s">
        <v>72</v>
      </c>
      <c r="G11" t="s">
        <v>20</v>
      </c>
      <c r="H11" t="s">
        <v>85</v>
      </c>
      <c r="I11" t="s">
        <v>85</v>
      </c>
      <c r="J11" t="s">
        <v>73</v>
      </c>
      <c r="K11" t="s">
        <v>66</v>
      </c>
      <c r="L11" t="s">
        <v>74</v>
      </c>
      <c r="M11" t="s">
        <v>86</v>
      </c>
      <c r="N11">
        <v>1475.09</v>
      </c>
      <c r="O11">
        <v>3</v>
      </c>
      <c r="P11">
        <v>-13.47</v>
      </c>
      <c r="Q11">
        <f t="shared" si="1"/>
        <v>2021</v>
      </c>
      <c r="R11" t="str">
        <f t="shared" si="2"/>
        <v>Jan</v>
      </c>
    </row>
    <row r="12" spans="1:18" x14ac:dyDescent="0.35">
      <c r="A12" t="s">
        <v>87</v>
      </c>
      <c r="B12" s="1" t="s">
        <v>88</v>
      </c>
      <c r="C12" s="1" t="s">
        <v>89</v>
      </c>
      <c r="D12" s="1">
        <f t="shared" si="0"/>
        <v>3</v>
      </c>
      <c r="E12" t="s">
        <v>18</v>
      </c>
      <c r="F12" t="s">
        <v>19</v>
      </c>
      <c r="G12" t="s">
        <v>20</v>
      </c>
      <c r="H12" t="s">
        <v>53</v>
      </c>
      <c r="I12" t="s">
        <v>54</v>
      </c>
      <c r="J12" t="s">
        <v>41</v>
      </c>
      <c r="K12" t="s">
        <v>24</v>
      </c>
      <c r="L12" t="s">
        <v>90</v>
      </c>
      <c r="M12" t="s">
        <v>91</v>
      </c>
      <c r="N12">
        <v>1198.52</v>
      </c>
      <c r="O12">
        <v>9</v>
      </c>
      <c r="P12">
        <v>400.13</v>
      </c>
      <c r="Q12">
        <f t="shared" si="1"/>
        <v>2021</v>
      </c>
      <c r="R12" t="str">
        <f t="shared" si="2"/>
        <v>Feb</v>
      </c>
    </row>
    <row r="13" spans="1:18" x14ac:dyDescent="0.35">
      <c r="A13" t="s">
        <v>92</v>
      </c>
      <c r="B13" s="1" t="s">
        <v>93</v>
      </c>
      <c r="C13" s="1" t="s">
        <v>94</v>
      </c>
      <c r="D13" s="1">
        <f t="shared" si="0"/>
        <v>5</v>
      </c>
      <c r="E13" t="s">
        <v>18</v>
      </c>
      <c r="F13" t="s">
        <v>19</v>
      </c>
      <c r="G13" t="s">
        <v>20</v>
      </c>
      <c r="H13" t="s">
        <v>47</v>
      </c>
      <c r="I13" t="s">
        <v>48</v>
      </c>
      <c r="J13" t="s">
        <v>73</v>
      </c>
      <c r="K13" t="s">
        <v>24</v>
      </c>
      <c r="L13" t="s">
        <v>90</v>
      </c>
      <c r="M13" t="s">
        <v>95</v>
      </c>
      <c r="N13">
        <v>465.44</v>
      </c>
      <c r="O13">
        <v>7</v>
      </c>
      <c r="P13">
        <v>-5.56</v>
      </c>
      <c r="Q13">
        <f t="shared" si="1"/>
        <v>2021</v>
      </c>
      <c r="R13" t="str">
        <f t="shared" si="2"/>
        <v>Nov</v>
      </c>
    </row>
    <row r="14" spans="1:18" x14ac:dyDescent="0.35">
      <c r="A14" t="s">
        <v>96</v>
      </c>
      <c r="B14" s="1" t="s">
        <v>97</v>
      </c>
      <c r="C14" s="1" t="s">
        <v>98</v>
      </c>
      <c r="D14" s="1">
        <f t="shared" si="0"/>
        <v>4</v>
      </c>
      <c r="E14" t="s">
        <v>30</v>
      </c>
      <c r="F14" t="s">
        <v>19</v>
      </c>
      <c r="G14" t="s">
        <v>20</v>
      </c>
      <c r="H14" t="s">
        <v>21</v>
      </c>
      <c r="I14" t="s">
        <v>22</v>
      </c>
      <c r="J14" t="s">
        <v>41</v>
      </c>
      <c r="K14" t="s">
        <v>32</v>
      </c>
      <c r="L14" t="s">
        <v>55</v>
      </c>
      <c r="M14" t="s">
        <v>99</v>
      </c>
      <c r="N14">
        <v>693.87</v>
      </c>
      <c r="O14">
        <v>1</v>
      </c>
      <c r="P14">
        <v>-163.68</v>
      </c>
      <c r="Q14">
        <f t="shared" si="1"/>
        <v>2021</v>
      </c>
      <c r="R14" t="str">
        <f t="shared" si="2"/>
        <v>May</v>
      </c>
    </row>
    <row r="15" spans="1:18" x14ac:dyDescent="0.35">
      <c r="A15" t="s">
        <v>100</v>
      </c>
      <c r="B15" s="1" t="s">
        <v>101</v>
      </c>
      <c r="C15" s="1" t="s">
        <v>102</v>
      </c>
      <c r="D15" s="1">
        <f t="shared" si="0"/>
        <v>3</v>
      </c>
      <c r="E15" t="s">
        <v>38</v>
      </c>
      <c r="F15" t="s">
        <v>72</v>
      </c>
      <c r="G15" t="s">
        <v>20</v>
      </c>
      <c r="H15" t="s">
        <v>21</v>
      </c>
      <c r="I15" t="s">
        <v>22</v>
      </c>
      <c r="J15" t="s">
        <v>41</v>
      </c>
      <c r="K15" t="s">
        <v>32</v>
      </c>
      <c r="L15" t="s">
        <v>61</v>
      </c>
      <c r="M15" t="s">
        <v>103</v>
      </c>
      <c r="N15">
        <v>291.81</v>
      </c>
      <c r="O15">
        <v>5</v>
      </c>
      <c r="P15">
        <v>40.79</v>
      </c>
      <c r="Q15">
        <f t="shared" si="1"/>
        <v>2021</v>
      </c>
      <c r="R15" t="str">
        <f t="shared" si="2"/>
        <v>Apr</v>
      </c>
    </row>
    <row r="16" spans="1:18" x14ac:dyDescent="0.35">
      <c r="A16" t="s">
        <v>104</v>
      </c>
      <c r="B16" s="1" t="s">
        <v>105</v>
      </c>
      <c r="C16" s="1" t="s">
        <v>106</v>
      </c>
      <c r="D16" s="1">
        <f t="shared" si="0"/>
        <v>5</v>
      </c>
      <c r="E16" t="s">
        <v>18</v>
      </c>
      <c r="F16" t="s">
        <v>31</v>
      </c>
      <c r="G16" t="s">
        <v>20</v>
      </c>
      <c r="H16" t="s">
        <v>85</v>
      </c>
      <c r="I16" t="s">
        <v>85</v>
      </c>
      <c r="J16" t="s">
        <v>73</v>
      </c>
      <c r="K16" t="s">
        <v>32</v>
      </c>
      <c r="L16" t="s">
        <v>61</v>
      </c>
      <c r="M16" t="s">
        <v>107</v>
      </c>
      <c r="N16">
        <v>1556.22</v>
      </c>
      <c r="O16">
        <v>7</v>
      </c>
      <c r="P16">
        <v>594.09</v>
      </c>
      <c r="Q16">
        <f t="shared" si="1"/>
        <v>2021</v>
      </c>
      <c r="R16" t="str">
        <f t="shared" si="2"/>
        <v>May</v>
      </c>
    </row>
    <row r="17" spans="1:18" x14ac:dyDescent="0.35">
      <c r="A17" t="s">
        <v>108</v>
      </c>
      <c r="B17" s="1" t="s">
        <v>109</v>
      </c>
      <c r="C17" s="1" t="s">
        <v>110</v>
      </c>
      <c r="D17" s="1">
        <f t="shared" si="0"/>
        <v>3</v>
      </c>
      <c r="E17" t="s">
        <v>18</v>
      </c>
      <c r="F17" t="s">
        <v>72</v>
      </c>
      <c r="G17" t="s">
        <v>20</v>
      </c>
      <c r="H17" t="s">
        <v>21</v>
      </c>
      <c r="I17" t="s">
        <v>22</v>
      </c>
      <c r="J17" t="s">
        <v>41</v>
      </c>
      <c r="K17" t="s">
        <v>32</v>
      </c>
      <c r="L17" t="s">
        <v>61</v>
      </c>
      <c r="M17" t="s">
        <v>111</v>
      </c>
      <c r="N17">
        <v>846.26</v>
      </c>
      <c r="O17">
        <v>8</v>
      </c>
      <c r="P17">
        <v>189.9</v>
      </c>
      <c r="Q17">
        <f t="shared" si="1"/>
        <v>2021</v>
      </c>
      <c r="R17" t="str">
        <f t="shared" si="2"/>
        <v>Aug</v>
      </c>
    </row>
    <row r="18" spans="1:18" x14ac:dyDescent="0.35">
      <c r="A18" t="s">
        <v>112</v>
      </c>
      <c r="B18" s="1" t="s">
        <v>113</v>
      </c>
      <c r="C18" s="1" t="s">
        <v>114</v>
      </c>
      <c r="D18" s="1">
        <f t="shared" si="0"/>
        <v>2</v>
      </c>
      <c r="E18" t="s">
        <v>115</v>
      </c>
      <c r="F18" t="s">
        <v>19</v>
      </c>
      <c r="G18" t="s">
        <v>20</v>
      </c>
      <c r="H18" t="s">
        <v>39</v>
      </c>
      <c r="I18" t="s">
        <v>40</v>
      </c>
      <c r="J18" t="s">
        <v>73</v>
      </c>
      <c r="K18" t="s">
        <v>66</v>
      </c>
      <c r="L18" t="s">
        <v>80</v>
      </c>
      <c r="M18" t="s">
        <v>116</v>
      </c>
      <c r="N18">
        <v>898.07</v>
      </c>
      <c r="O18">
        <v>1</v>
      </c>
      <c r="P18">
        <v>686.63</v>
      </c>
      <c r="Q18">
        <f t="shared" si="1"/>
        <v>2021</v>
      </c>
      <c r="R18" t="str">
        <f t="shared" si="2"/>
        <v>Apr</v>
      </c>
    </row>
    <row r="19" spans="1:18" x14ac:dyDescent="0.35">
      <c r="A19" t="s">
        <v>117</v>
      </c>
      <c r="B19" s="1" t="s">
        <v>118</v>
      </c>
      <c r="C19" s="1" t="s">
        <v>119</v>
      </c>
      <c r="D19" s="1">
        <f t="shared" si="0"/>
        <v>1</v>
      </c>
      <c r="E19" t="s">
        <v>115</v>
      </c>
      <c r="F19" t="s">
        <v>72</v>
      </c>
      <c r="G19" t="s">
        <v>20</v>
      </c>
      <c r="H19" t="s">
        <v>47</v>
      </c>
      <c r="I19" t="s">
        <v>48</v>
      </c>
      <c r="J19" t="s">
        <v>41</v>
      </c>
      <c r="K19" t="s">
        <v>24</v>
      </c>
      <c r="L19" t="s">
        <v>42</v>
      </c>
      <c r="M19" t="s">
        <v>120</v>
      </c>
      <c r="N19">
        <v>185.1</v>
      </c>
      <c r="O19">
        <v>10</v>
      </c>
      <c r="P19">
        <v>557.37</v>
      </c>
      <c r="Q19">
        <f t="shared" si="1"/>
        <v>2021</v>
      </c>
      <c r="R19" t="str">
        <f t="shared" si="2"/>
        <v>Sep</v>
      </c>
    </row>
    <row r="20" spans="1:18" x14ac:dyDescent="0.35">
      <c r="A20" t="s">
        <v>121</v>
      </c>
      <c r="B20" s="1" t="s">
        <v>122</v>
      </c>
      <c r="C20" s="1" t="s">
        <v>123</v>
      </c>
      <c r="D20" s="1">
        <f t="shared" si="0"/>
        <v>2</v>
      </c>
      <c r="E20" t="s">
        <v>38</v>
      </c>
      <c r="F20" t="s">
        <v>72</v>
      </c>
      <c r="G20" t="s">
        <v>20</v>
      </c>
      <c r="H20" t="s">
        <v>21</v>
      </c>
      <c r="I20" t="s">
        <v>22</v>
      </c>
      <c r="J20" t="s">
        <v>73</v>
      </c>
      <c r="K20" t="s">
        <v>24</v>
      </c>
      <c r="L20" t="s">
        <v>90</v>
      </c>
      <c r="M20" t="s">
        <v>124</v>
      </c>
      <c r="N20">
        <v>407.81</v>
      </c>
      <c r="O20">
        <v>10</v>
      </c>
      <c r="P20">
        <v>72.53</v>
      </c>
      <c r="Q20">
        <f t="shared" si="1"/>
        <v>2021</v>
      </c>
      <c r="R20" t="str">
        <f t="shared" si="2"/>
        <v>May</v>
      </c>
    </row>
    <row r="21" spans="1:18" x14ac:dyDescent="0.35">
      <c r="A21" t="s">
        <v>125</v>
      </c>
      <c r="B21" s="1" t="s">
        <v>126</v>
      </c>
      <c r="C21" s="1" t="s">
        <v>127</v>
      </c>
      <c r="D21" s="1">
        <f t="shared" si="0"/>
        <v>3</v>
      </c>
      <c r="E21" t="s">
        <v>18</v>
      </c>
      <c r="F21" t="s">
        <v>19</v>
      </c>
      <c r="G21" t="s">
        <v>20</v>
      </c>
      <c r="H21" t="s">
        <v>47</v>
      </c>
      <c r="I21" t="s">
        <v>48</v>
      </c>
      <c r="J21" t="s">
        <v>41</v>
      </c>
      <c r="K21" t="s">
        <v>32</v>
      </c>
      <c r="L21" t="s">
        <v>55</v>
      </c>
      <c r="M21" t="s">
        <v>128</v>
      </c>
      <c r="N21">
        <v>680.56</v>
      </c>
      <c r="O21">
        <v>9</v>
      </c>
      <c r="P21">
        <v>339.31</v>
      </c>
      <c r="Q21">
        <f t="shared" si="1"/>
        <v>2021</v>
      </c>
      <c r="R21" t="str">
        <f t="shared" si="2"/>
        <v>Apr</v>
      </c>
    </row>
    <row r="22" spans="1:18" x14ac:dyDescent="0.35">
      <c r="A22" t="s">
        <v>129</v>
      </c>
      <c r="B22" s="1" t="s">
        <v>130</v>
      </c>
      <c r="C22" s="1" t="s">
        <v>131</v>
      </c>
      <c r="D22" s="1">
        <f t="shared" si="0"/>
        <v>5</v>
      </c>
      <c r="E22" t="s">
        <v>18</v>
      </c>
      <c r="F22" t="s">
        <v>72</v>
      </c>
      <c r="G22" t="s">
        <v>20</v>
      </c>
      <c r="H22" t="s">
        <v>47</v>
      </c>
      <c r="I22" t="s">
        <v>48</v>
      </c>
      <c r="J22" t="s">
        <v>41</v>
      </c>
      <c r="K22" t="s">
        <v>32</v>
      </c>
      <c r="L22" t="s">
        <v>61</v>
      </c>
      <c r="M22" t="s">
        <v>132</v>
      </c>
      <c r="N22">
        <v>1697.34</v>
      </c>
      <c r="O22">
        <v>3</v>
      </c>
      <c r="P22">
        <v>284.49</v>
      </c>
      <c r="Q22">
        <f t="shared" si="1"/>
        <v>2021</v>
      </c>
      <c r="R22" t="str">
        <f t="shared" si="2"/>
        <v>Jul</v>
      </c>
    </row>
    <row r="23" spans="1:18" x14ac:dyDescent="0.35">
      <c r="A23" t="s">
        <v>133</v>
      </c>
      <c r="B23" s="1" t="s">
        <v>134</v>
      </c>
      <c r="C23" s="1" t="s">
        <v>135</v>
      </c>
      <c r="D23" s="1">
        <f t="shared" si="0"/>
        <v>2</v>
      </c>
      <c r="E23" t="s">
        <v>60</v>
      </c>
      <c r="F23" t="s">
        <v>31</v>
      </c>
      <c r="G23" t="s">
        <v>20</v>
      </c>
      <c r="H23" t="s">
        <v>39</v>
      </c>
      <c r="I23" t="s">
        <v>40</v>
      </c>
      <c r="J23" t="s">
        <v>79</v>
      </c>
      <c r="K23" t="s">
        <v>32</v>
      </c>
      <c r="L23" t="s">
        <v>61</v>
      </c>
      <c r="M23" t="s">
        <v>136</v>
      </c>
      <c r="N23">
        <v>1936.44</v>
      </c>
      <c r="O23">
        <v>9</v>
      </c>
      <c r="P23">
        <v>495.98</v>
      </c>
      <c r="Q23">
        <f t="shared" si="1"/>
        <v>2021</v>
      </c>
      <c r="R23" t="str">
        <f t="shared" si="2"/>
        <v>Aug</v>
      </c>
    </row>
    <row r="24" spans="1:18" x14ac:dyDescent="0.35">
      <c r="A24" t="s">
        <v>137</v>
      </c>
      <c r="B24" s="1" t="s">
        <v>138</v>
      </c>
      <c r="C24" s="1" t="s">
        <v>139</v>
      </c>
      <c r="D24" s="1">
        <f t="shared" si="0"/>
        <v>4</v>
      </c>
      <c r="E24" t="s">
        <v>18</v>
      </c>
      <c r="F24" t="s">
        <v>72</v>
      </c>
      <c r="G24" t="s">
        <v>20</v>
      </c>
      <c r="H24" t="s">
        <v>21</v>
      </c>
      <c r="I24" t="s">
        <v>22</v>
      </c>
      <c r="J24" t="s">
        <v>23</v>
      </c>
      <c r="K24" t="s">
        <v>32</v>
      </c>
      <c r="L24" t="s">
        <v>33</v>
      </c>
      <c r="M24" t="s">
        <v>140</v>
      </c>
      <c r="N24">
        <v>994.95</v>
      </c>
      <c r="O24">
        <v>6</v>
      </c>
      <c r="P24">
        <v>134.91999999999999</v>
      </c>
      <c r="Q24">
        <f t="shared" si="1"/>
        <v>2021</v>
      </c>
      <c r="R24" t="str">
        <f t="shared" si="2"/>
        <v>Jun</v>
      </c>
    </row>
    <row r="25" spans="1:18" x14ac:dyDescent="0.35">
      <c r="A25" t="s">
        <v>141</v>
      </c>
      <c r="B25" s="1" t="s">
        <v>142</v>
      </c>
      <c r="C25" s="1" t="s">
        <v>143</v>
      </c>
      <c r="D25" s="1">
        <f t="shared" si="0"/>
        <v>2</v>
      </c>
      <c r="E25" t="s">
        <v>18</v>
      </c>
      <c r="F25" t="s">
        <v>19</v>
      </c>
      <c r="G25" t="s">
        <v>20</v>
      </c>
      <c r="H25" t="s">
        <v>47</v>
      </c>
      <c r="I25" t="s">
        <v>48</v>
      </c>
      <c r="J25" t="s">
        <v>41</v>
      </c>
      <c r="K25" t="s">
        <v>24</v>
      </c>
      <c r="L25" t="s">
        <v>25</v>
      </c>
      <c r="M25" t="s">
        <v>144</v>
      </c>
      <c r="N25">
        <v>1860.33</v>
      </c>
      <c r="O25">
        <v>3</v>
      </c>
      <c r="P25">
        <v>525.73</v>
      </c>
      <c r="Q25">
        <f t="shared" si="1"/>
        <v>2021</v>
      </c>
      <c r="R25" t="str">
        <f t="shared" si="2"/>
        <v>Jun</v>
      </c>
    </row>
    <row r="26" spans="1:18" x14ac:dyDescent="0.35">
      <c r="A26" t="s">
        <v>145</v>
      </c>
      <c r="B26" s="1" t="s">
        <v>146</v>
      </c>
      <c r="C26" s="1" t="s">
        <v>147</v>
      </c>
      <c r="D26" s="1">
        <f t="shared" si="0"/>
        <v>4</v>
      </c>
      <c r="E26" t="s">
        <v>30</v>
      </c>
      <c r="F26" t="s">
        <v>72</v>
      </c>
      <c r="G26" t="s">
        <v>20</v>
      </c>
      <c r="H26" t="s">
        <v>85</v>
      </c>
      <c r="I26" t="s">
        <v>85</v>
      </c>
      <c r="J26" t="s">
        <v>73</v>
      </c>
      <c r="K26" t="s">
        <v>66</v>
      </c>
      <c r="L26" t="s">
        <v>74</v>
      </c>
      <c r="M26" t="s">
        <v>148</v>
      </c>
      <c r="N26">
        <v>143.16999999999999</v>
      </c>
      <c r="O26">
        <v>2</v>
      </c>
      <c r="P26">
        <v>-153.41</v>
      </c>
      <c r="Q26">
        <f t="shared" si="1"/>
        <v>2021</v>
      </c>
      <c r="R26" t="str">
        <f t="shared" si="2"/>
        <v>Mar</v>
      </c>
    </row>
    <row r="27" spans="1:18" x14ac:dyDescent="0.35">
      <c r="A27" t="s">
        <v>149</v>
      </c>
      <c r="B27" s="1" t="s">
        <v>150</v>
      </c>
      <c r="C27" s="1" t="s">
        <v>151</v>
      </c>
      <c r="D27" s="1">
        <f t="shared" si="0"/>
        <v>1</v>
      </c>
      <c r="E27" t="s">
        <v>60</v>
      </c>
      <c r="F27" t="s">
        <v>72</v>
      </c>
      <c r="G27" t="s">
        <v>20</v>
      </c>
      <c r="H27" t="s">
        <v>47</v>
      </c>
      <c r="I27" t="s">
        <v>48</v>
      </c>
      <c r="J27" t="s">
        <v>79</v>
      </c>
      <c r="K27" t="s">
        <v>24</v>
      </c>
      <c r="L27" t="s">
        <v>25</v>
      </c>
      <c r="M27" t="s">
        <v>144</v>
      </c>
      <c r="N27">
        <v>1689.84</v>
      </c>
      <c r="O27">
        <v>4</v>
      </c>
      <c r="P27">
        <v>369.32</v>
      </c>
      <c r="Q27">
        <f t="shared" si="1"/>
        <v>2021</v>
      </c>
      <c r="R27" t="str">
        <f t="shared" si="2"/>
        <v>Jan</v>
      </c>
    </row>
    <row r="28" spans="1:18" x14ac:dyDescent="0.35">
      <c r="A28" t="s">
        <v>152</v>
      </c>
      <c r="B28" s="1" t="s">
        <v>153</v>
      </c>
      <c r="C28" s="1" t="s">
        <v>154</v>
      </c>
      <c r="D28" s="1">
        <f t="shared" si="0"/>
        <v>4</v>
      </c>
      <c r="E28" t="s">
        <v>30</v>
      </c>
      <c r="F28" t="s">
        <v>31</v>
      </c>
      <c r="G28" t="s">
        <v>20</v>
      </c>
      <c r="H28" t="s">
        <v>53</v>
      </c>
      <c r="I28" t="s">
        <v>54</v>
      </c>
      <c r="J28" t="s">
        <v>79</v>
      </c>
      <c r="K28" t="s">
        <v>66</v>
      </c>
      <c r="L28" t="s">
        <v>67</v>
      </c>
      <c r="M28" t="s">
        <v>155</v>
      </c>
      <c r="N28">
        <v>847.7</v>
      </c>
      <c r="O28">
        <v>7</v>
      </c>
      <c r="P28">
        <v>644.72</v>
      </c>
      <c r="Q28">
        <f t="shared" si="1"/>
        <v>2021</v>
      </c>
      <c r="R28" t="str">
        <f t="shared" si="2"/>
        <v>Dec</v>
      </c>
    </row>
    <row r="29" spans="1:18" x14ac:dyDescent="0.35">
      <c r="A29" t="s">
        <v>156</v>
      </c>
      <c r="B29" s="1" t="s">
        <v>46</v>
      </c>
      <c r="C29" s="1" t="s">
        <v>157</v>
      </c>
      <c r="D29" s="1">
        <f t="shared" si="0"/>
        <v>5</v>
      </c>
      <c r="E29" t="s">
        <v>30</v>
      </c>
      <c r="F29" t="s">
        <v>19</v>
      </c>
      <c r="G29" t="s">
        <v>20</v>
      </c>
      <c r="H29" t="s">
        <v>21</v>
      </c>
      <c r="I29" t="s">
        <v>22</v>
      </c>
      <c r="J29" t="s">
        <v>73</v>
      </c>
      <c r="K29" t="s">
        <v>66</v>
      </c>
      <c r="L29" t="s">
        <v>80</v>
      </c>
      <c r="M29" t="s">
        <v>158</v>
      </c>
      <c r="N29">
        <v>436.87</v>
      </c>
      <c r="O29">
        <v>9</v>
      </c>
      <c r="P29">
        <v>-124.79</v>
      </c>
      <c r="Q29">
        <f t="shared" si="1"/>
        <v>2021</v>
      </c>
      <c r="R29" t="str">
        <f t="shared" si="2"/>
        <v>Sep</v>
      </c>
    </row>
    <row r="30" spans="1:18" x14ac:dyDescent="0.35">
      <c r="A30" t="s">
        <v>159</v>
      </c>
      <c r="B30" s="1" t="s">
        <v>160</v>
      </c>
      <c r="C30" s="1" t="s">
        <v>142</v>
      </c>
      <c r="D30" s="1">
        <f t="shared" si="0"/>
        <v>1</v>
      </c>
      <c r="E30" t="s">
        <v>38</v>
      </c>
      <c r="F30" t="s">
        <v>19</v>
      </c>
      <c r="G30" t="s">
        <v>20</v>
      </c>
      <c r="H30" t="s">
        <v>53</v>
      </c>
      <c r="I30" t="s">
        <v>54</v>
      </c>
      <c r="J30" t="s">
        <v>41</v>
      </c>
      <c r="K30" t="s">
        <v>66</v>
      </c>
      <c r="L30" t="s">
        <v>80</v>
      </c>
      <c r="M30" t="s">
        <v>161</v>
      </c>
      <c r="N30">
        <v>1325.46</v>
      </c>
      <c r="O30">
        <v>9</v>
      </c>
      <c r="P30">
        <v>436</v>
      </c>
      <c r="Q30">
        <f t="shared" si="1"/>
        <v>2021</v>
      </c>
      <c r="R30" t="str">
        <f t="shared" si="2"/>
        <v>Jun</v>
      </c>
    </row>
    <row r="31" spans="1:18" x14ac:dyDescent="0.35">
      <c r="A31" t="s">
        <v>162</v>
      </c>
      <c r="B31" s="1" t="s">
        <v>163</v>
      </c>
      <c r="C31" s="1" t="s">
        <v>164</v>
      </c>
      <c r="D31" s="1">
        <f t="shared" si="0"/>
        <v>5</v>
      </c>
      <c r="E31" t="s">
        <v>30</v>
      </c>
      <c r="F31" t="s">
        <v>31</v>
      </c>
      <c r="G31" t="s">
        <v>20</v>
      </c>
      <c r="H31" t="s">
        <v>53</v>
      </c>
      <c r="I31" t="s">
        <v>54</v>
      </c>
      <c r="J31" t="s">
        <v>23</v>
      </c>
      <c r="K31" t="s">
        <v>32</v>
      </c>
      <c r="L31" t="s">
        <v>55</v>
      </c>
      <c r="M31" t="s">
        <v>165</v>
      </c>
      <c r="N31">
        <v>1112.52</v>
      </c>
      <c r="O31">
        <v>8</v>
      </c>
      <c r="P31">
        <v>653.75</v>
      </c>
      <c r="Q31">
        <f t="shared" si="1"/>
        <v>2021</v>
      </c>
      <c r="R31" t="str">
        <f t="shared" si="2"/>
        <v>Nov</v>
      </c>
    </row>
    <row r="32" spans="1:18" x14ac:dyDescent="0.35">
      <c r="A32" t="s">
        <v>166</v>
      </c>
      <c r="B32" s="1" t="s">
        <v>167</v>
      </c>
      <c r="C32" s="1" t="s">
        <v>168</v>
      </c>
      <c r="D32" s="1">
        <f t="shared" si="0"/>
        <v>1</v>
      </c>
      <c r="E32" t="s">
        <v>115</v>
      </c>
      <c r="F32" t="s">
        <v>19</v>
      </c>
      <c r="G32" t="s">
        <v>20</v>
      </c>
      <c r="H32" t="s">
        <v>39</v>
      </c>
      <c r="I32" t="s">
        <v>40</v>
      </c>
      <c r="J32" t="s">
        <v>73</v>
      </c>
      <c r="K32" t="s">
        <v>32</v>
      </c>
      <c r="L32" t="s">
        <v>61</v>
      </c>
      <c r="M32" t="s">
        <v>169</v>
      </c>
      <c r="N32">
        <v>1715.19</v>
      </c>
      <c r="O32">
        <v>10</v>
      </c>
      <c r="P32">
        <v>436.05</v>
      </c>
      <c r="Q32">
        <f t="shared" si="1"/>
        <v>2021</v>
      </c>
      <c r="R32" t="str">
        <f t="shared" si="2"/>
        <v>Oct</v>
      </c>
    </row>
    <row r="33" spans="1:18" x14ac:dyDescent="0.35">
      <c r="A33" t="s">
        <v>170</v>
      </c>
      <c r="B33" s="1" t="s">
        <v>171</v>
      </c>
      <c r="C33" s="1" t="s">
        <v>172</v>
      </c>
      <c r="D33" s="1">
        <f t="shared" si="0"/>
        <v>5</v>
      </c>
      <c r="E33" t="s">
        <v>38</v>
      </c>
      <c r="F33" t="s">
        <v>19</v>
      </c>
      <c r="G33" t="s">
        <v>20</v>
      </c>
      <c r="H33" t="s">
        <v>21</v>
      </c>
      <c r="I33" t="s">
        <v>22</v>
      </c>
      <c r="J33" t="s">
        <v>23</v>
      </c>
      <c r="K33" t="s">
        <v>32</v>
      </c>
      <c r="L33" t="s">
        <v>61</v>
      </c>
      <c r="M33" t="s">
        <v>173</v>
      </c>
      <c r="N33">
        <v>1846.53</v>
      </c>
      <c r="O33">
        <v>9</v>
      </c>
      <c r="P33">
        <v>545.28</v>
      </c>
      <c r="Q33">
        <f t="shared" si="1"/>
        <v>2021</v>
      </c>
      <c r="R33" t="str">
        <f t="shared" si="2"/>
        <v>Nov</v>
      </c>
    </row>
    <row r="34" spans="1:18" x14ac:dyDescent="0.35">
      <c r="A34" t="s">
        <v>174</v>
      </c>
      <c r="B34" s="1" t="s">
        <v>175</v>
      </c>
      <c r="C34" s="1" t="s">
        <v>176</v>
      </c>
      <c r="D34" s="1">
        <f t="shared" si="0"/>
        <v>3</v>
      </c>
      <c r="E34" t="s">
        <v>30</v>
      </c>
      <c r="F34" t="s">
        <v>19</v>
      </c>
      <c r="G34" t="s">
        <v>20</v>
      </c>
      <c r="H34" t="s">
        <v>47</v>
      </c>
      <c r="I34" t="s">
        <v>48</v>
      </c>
      <c r="J34" t="s">
        <v>23</v>
      </c>
      <c r="K34" t="s">
        <v>24</v>
      </c>
      <c r="L34" t="s">
        <v>25</v>
      </c>
      <c r="M34" t="s">
        <v>177</v>
      </c>
      <c r="N34">
        <v>241.3</v>
      </c>
      <c r="O34">
        <v>8</v>
      </c>
      <c r="P34">
        <v>380.23</v>
      </c>
      <c r="Q34">
        <f t="shared" si="1"/>
        <v>2021</v>
      </c>
      <c r="R34" t="str">
        <f t="shared" si="2"/>
        <v>Mar</v>
      </c>
    </row>
    <row r="35" spans="1:18" x14ac:dyDescent="0.35">
      <c r="A35" t="s">
        <v>178</v>
      </c>
      <c r="B35" s="1" t="s">
        <v>113</v>
      </c>
      <c r="C35" s="1" t="s">
        <v>126</v>
      </c>
      <c r="D35" s="1">
        <f t="shared" si="0"/>
        <v>4</v>
      </c>
      <c r="E35" t="s">
        <v>30</v>
      </c>
      <c r="F35" t="s">
        <v>31</v>
      </c>
      <c r="G35" t="s">
        <v>20</v>
      </c>
      <c r="H35" t="s">
        <v>47</v>
      </c>
      <c r="I35" t="s">
        <v>48</v>
      </c>
      <c r="J35" t="s">
        <v>41</v>
      </c>
      <c r="K35" t="s">
        <v>32</v>
      </c>
      <c r="L35" t="s">
        <v>55</v>
      </c>
      <c r="M35" t="s">
        <v>179</v>
      </c>
      <c r="N35">
        <v>1762.19</v>
      </c>
      <c r="O35">
        <v>1</v>
      </c>
      <c r="P35">
        <v>658.6</v>
      </c>
      <c r="Q35">
        <f t="shared" si="1"/>
        <v>2021</v>
      </c>
      <c r="R35" t="str">
        <f t="shared" si="2"/>
        <v>Apr</v>
      </c>
    </row>
    <row r="36" spans="1:18" x14ac:dyDescent="0.35">
      <c r="A36" t="s">
        <v>180</v>
      </c>
      <c r="B36" s="1" t="s">
        <v>181</v>
      </c>
      <c r="C36" s="1" t="s">
        <v>182</v>
      </c>
      <c r="D36" s="1">
        <f t="shared" si="0"/>
        <v>5</v>
      </c>
      <c r="E36" t="s">
        <v>30</v>
      </c>
      <c r="F36" t="s">
        <v>19</v>
      </c>
      <c r="G36" t="s">
        <v>20</v>
      </c>
      <c r="H36" t="s">
        <v>85</v>
      </c>
      <c r="I36" t="s">
        <v>85</v>
      </c>
      <c r="J36" t="s">
        <v>73</v>
      </c>
      <c r="K36" t="s">
        <v>32</v>
      </c>
      <c r="L36" t="s">
        <v>33</v>
      </c>
      <c r="M36" t="s">
        <v>183</v>
      </c>
      <c r="N36">
        <v>1021.35</v>
      </c>
      <c r="O36">
        <v>4</v>
      </c>
      <c r="P36">
        <v>1.33</v>
      </c>
      <c r="Q36">
        <f t="shared" si="1"/>
        <v>2021</v>
      </c>
      <c r="R36" t="str">
        <f t="shared" si="2"/>
        <v>Jan</v>
      </c>
    </row>
    <row r="37" spans="1:18" x14ac:dyDescent="0.35">
      <c r="A37" t="s">
        <v>184</v>
      </c>
      <c r="B37" s="1" t="s">
        <v>185</v>
      </c>
      <c r="C37" s="1" t="s">
        <v>186</v>
      </c>
      <c r="D37" s="1">
        <f t="shared" si="0"/>
        <v>2</v>
      </c>
      <c r="E37" t="s">
        <v>115</v>
      </c>
      <c r="F37" t="s">
        <v>19</v>
      </c>
      <c r="G37" t="s">
        <v>20</v>
      </c>
      <c r="H37" t="s">
        <v>85</v>
      </c>
      <c r="I37" t="s">
        <v>85</v>
      </c>
      <c r="J37" t="s">
        <v>73</v>
      </c>
      <c r="K37" t="s">
        <v>32</v>
      </c>
      <c r="L37" t="s">
        <v>33</v>
      </c>
      <c r="M37" t="s">
        <v>187</v>
      </c>
      <c r="N37">
        <v>96.1</v>
      </c>
      <c r="O37">
        <v>2</v>
      </c>
      <c r="P37">
        <v>220.15</v>
      </c>
      <c r="Q37">
        <f t="shared" si="1"/>
        <v>2021</v>
      </c>
      <c r="R37" t="str">
        <f t="shared" si="2"/>
        <v>Jun</v>
      </c>
    </row>
    <row r="38" spans="1:18" x14ac:dyDescent="0.35">
      <c r="A38" t="s">
        <v>188</v>
      </c>
      <c r="B38" s="1" t="s">
        <v>126</v>
      </c>
      <c r="C38" s="1" t="s">
        <v>189</v>
      </c>
      <c r="D38" s="1">
        <f t="shared" si="0"/>
        <v>1</v>
      </c>
      <c r="E38" t="s">
        <v>38</v>
      </c>
      <c r="F38" t="s">
        <v>31</v>
      </c>
      <c r="G38" t="s">
        <v>20</v>
      </c>
      <c r="H38" t="s">
        <v>21</v>
      </c>
      <c r="I38" t="s">
        <v>22</v>
      </c>
      <c r="J38" t="s">
        <v>79</v>
      </c>
      <c r="K38" t="s">
        <v>66</v>
      </c>
      <c r="L38" t="s">
        <v>74</v>
      </c>
      <c r="M38" t="s">
        <v>190</v>
      </c>
      <c r="N38">
        <v>488.34</v>
      </c>
      <c r="O38">
        <v>2</v>
      </c>
      <c r="P38">
        <v>-23.66</v>
      </c>
      <c r="Q38">
        <f t="shared" si="1"/>
        <v>2021</v>
      </c>
      <c r="R38" t="str">
        <f t="shared" si="2"/>
        <v>Apr</v>
      </c>
    </row>
    <row r="39" spans="1:18" x14ac:dyDescent="0.35">
      <c r="A39" t="s">
        <v>191</v>
      </c>
      <c r="B39" s="1" t="s">
        <v>192</v>
      </c>
      <c r="C39" s="1" t="s">
        <v>77</v>
      </c>
      <c r="D39" s="1">
        <f t="shared" si="0"/>
        <v>5</v>
      </c>
      <c r="E39" t="s">
        <v>18</v>
      </c>
      <c r="F39" t="s">
        <v>72</v>
      </c>
      <c r="G39" t="s">
        <v>20</v>
      </c>
      <c r="H39" t="s">
        <v>53</v>
      </c>
      <c r="I39" t="s">
        <v>54</v>
      </c>
      <c r="J39" t="s">
        <v>73</v>
      </c>
      <c r="K39" t="s">
        <v>66</v>
      </c>
      <c r="L39" t="s">
        <v>74</v>
      </c>
      <c r="M39" t="s">
        <v>193</v>
      </c>
      <c r="N39">
        <v>734.39</v>
      </c>
      <c r="O39">
        <v>9</v>
      </c>
      <c r="P39">
        <v>-79.42</v>
      </c>
      <c r="Q39">
        <f t="shared" si="1"/>
        <v>2021</v>
      </c>
      <c r="R39" t="str">
        <f t="shared" si="2"/>
        <v>Aug</v>
      </c>
    </row>
    <row r="40" spans="1:18" x14ac:dyDescent="0.35">
      <c r="A40" t="s">
        <v>194</v>
      </c>
      <c r="B40" s="1" t="s">
        <v>195</v>
      </c>
      <c r="C40" s="1" t="s">
        <v>196</v>
      </c>
      <c r="D40" s="1">
        <f t="shared" si="0"/>
        <v>1</v>
      </c>
      <c r="E40" t="s">
        <v>30</v>
      </c>
      <c r="F40" t="s">
        <v>72</v>
      </c>
      <c r="G40" t="s">
        <v>20</v>
      </c>
      <c r="H40" t="s">
        <v>47</v>
      </c>
      <c r="I40" t="s">
        <v>48</v>
      </c>
      <c r="J40" t="s">
        <v>73</v>
      </c>
      <c r="K40" t="s">
        <v>32</v>
      </c>
      <c r="L40" t="s">
        <v>55</v>
      </c>
      <c r="M40" t="s">
        <v>197</v>
      </c>
      <c r="N40">
        <v>802.71</v>
      </c>
      <c r="O40">
        <v>9</v>
      </c>
      <c r="P40">
        <v>-165.45</v>
      </c>
      <c r="Q40">
        <f t="shared" si="1"/>
        <v>2021</v>
      </c>
      <c r="R40" t="str">
        <f t="shared" si="2"/>
        <v>Jul</v>
      </c>
    </row>
    <row r="41" spans="1:18" x14ac:dyDescent="0.35">
      <c r="A41" t="s">
        <v>198</v>
      </c>
      <c r="B41" s="1" t="s">
        <v>138</v>
      </c>
      <c r="C41" s="1" t="s">
        <v>199</v>
      </c>
      <c r="D41" s="1">
        <f t="shared" si="0"/>
        <v>5</v>
      </c>
      <c r="E41" t="s">
        <v>30</v>
      </c>
      <c r="F41" t="s">
        <v>72</v>
      </c>
      <c r="G41" t="s">
        <v>20</v>
      </c>
      <c r="H41" t="s">
        <v>39</v>
      </c>
      <c r="I41" t="s">
        <v>40</v>
      </c>
      <c r="J41" t="s">
        <v>79</v>
      </c>
      <c r="K41" t="s">
        <v>24</v>
      </c>
      <c r="L41" t="s">
        <v>25</v>
      </c>
      <c r="M41" t="s">
        <v>200</v>
      </c>
      <c r="N41">
        <v>106.19</v>
      </c>
      <c r="O41">
        <v>7</v>
      </c>
      <c r="P41">
        <v>260.77999999999997</v>
      </c>
      <c r="Q41">
        <f t="shared" si="1"/>
        <v>2021</v>
      </c>
      <c r="R41" t="str">
        <f t="shared" si="2"/>
        <v>Jun</v>
      </c>
    </row>
    <row r="42" spans="1:18" x14ac:dyDescent="0.35">
      <c r="A42" t="s">
        <v>201</v>
      </c>
      <c r="B42" s="1" t="s">
        <v>202</v>
      </c>
      <c r="C42" s="1" t="s">
        <v>203</v>
      </c>
      <c r="D42" s="1">
        <f t="shared" si="0"/>
        <v>4</v>
      </c>
      <c r="E42" t="s">
        <v>60</v>
      </c>
      <c r="F42" t="s">
        <v>72</v>
      </c>
      <c r="G42" t="s">
        <v>20</v>
      </c>
      <c r="H42" t="s">
        <v>53</v>
      </c>
      <c r="I42" t="s">
        <v>54</v>
      </c>
      <c r="J42" t="s">
        <v>23</v>
      </c>
      <c r="K42" t="s">
        <v>32</v>
      </c>
      <c r="L42" t="s">
        <v>33</v>
      </c>
      <c r="M42" t="s">
        <v>204</v>
      </c>
      <c r="N42">
        <v>1067.8</v>
      </c>
      <c r="O42">
        <v>6</v>
      </c>
      <c r="P42">
        <v>164.36</v>
      </c>
      <c r="Q42">
        <f t="shared" si="1"/>
        <v>2021</v>
      </c>
      <c r="R42" t="str">
        <f t="shared" si="2"/>
        <v>Jan</v>
      </c>
    </row>
    <row r="43" spans="1:18" x14ac:dyDescent="0.35">
      <c r="A43" t="s">
        <v>205</v>
      </c>
      <c r="B43" s="1" t="s">
        <v>206</v>
      </c>
      <c r="C43" s="1" t="s">
        <v>207</v>
      </c>
      <c r="D43" s="1">
        <f t="shared" si="0"/>
        <v>1</v>
      </c>
      <c r="E43" t="s">
        <v>30</v>
      </c>
      <c r="F43" t="s">
        <v>72</v>
      </c>
      <c r="G43" t="s">
        <v>20</v>
      </c>
      <c r="H43" t="s">
        <v>47</v>
      </c>
      <c r="I43" t="s">
        <v>48</v>
      </c>
      <c r="J43" t="s">
        <v>41</v>
      </c>
      <c r="K43" t="s">
        <v>32</v>
      </c>
      <c r="L43" t="s">
        <v>33</v>
      </c>
      <c r="M43" t="s">
        <v>208</v>
      </c>
      <c r="N43">
        <v>438.38</v>
      </c>
      <c r="O43">
        <v>2</v>
      </c>
      <c r="P43">
        <v>478.6</v>
      </c>
      <c r="Q43">
        <f t="shared" si="1"/>
        <v>2021</v>
      </c>
      <c r="R43" t="str">
        <f t="shared" si="2"/>
        <v>Nov</v>
      </c>
    </row>
    <row r="44" spans="1:18" x14ac:dyDescent="0.35">
      <c r="A44" t="s">
        <v>209</v>
      </c>
      <c r="B44" s="1" t="s">
        <v>210</v>
      </c>
      <c r="C44" s="1" t="s">
        <v>211</v>
      </c>
      <c r="D44" s="1">
        <f t="shared" si="0"/>
        <v>4</v>
      </c>
      <c r="E44" t="s">
        <v>115</v>
      </c>
      <c r="F44" t="s">
        <v>72</v>
      </c>
      <c r="G44" t="s">
        <v>20</v>
      </c>
      <c r="H44" t="s">
        <v>85</v>
      </c>
      <c r="I44" t="s">
        <v>85</v>
      </c>
      <c r="J44" t="s">
        <v>79</v>
      </c>
      <c r="K44" t="s">
        <v>32</v>
      </c>
      <c r="L44" t="s">
        <v>61</v>
      </c>
      <c r="M44" t="s">
        <v>212</v>
      </c>
      <c r="N44">
        <v>140.83000000000001</v>
      </c>
      <c r="O44">
        <v>8</v>
      </c>
      <c r="P44">
        <v>-3.16</v>
      </c>
      <c r="Q44">
        <f t="shared" si="1"/>
        <v>2021</v>
      </c>
      <c r="R44" t="str">
        <f t="shared" si="2"/>
        <v>Aug</v>
      </c>
    </row>
    <row r="45" spans="1:18" x14ac:dyDescent="0.35">
      <c r="A45" t="s">
        <v>213</v>
      </c>
      <c r="B45" s="1" t="s">
        <v>163</v>
      </c>
      <c r="C45" s="1" t="s">
        <v>214</v>
      </c>
      <c r="D45" s="1">
        <f t="shared" si="0"/>
        <v>4</v>
      </c>
      <c r="E45" t="s">
        <v>115</v>
      </c>
      <c r="F45" t="s">
        <v>19</v>
      </c>
      <c r="G45" t="s">
        <v>20</v>
      </c>
      <c r="H45" t="s">
        <v>39</v>
      </c>
      <c r="I45" t="s">
        <v>40</v>
      </c>
      <c r="J45" t="s">
        <v>73</v>
      </c>
      <c r="K45" t="s">
        <v>32</v>
      </c>
      <c r="L45" t="s">
        <v>55</v>
      </c>
      <c r="M45" t="s">
        <v>215</v>
      </c>
      <c r="N45">
        <v>1639.97</v>
      </c>
      <c r="O45">
        <v>4</v>
      </c>
      <c r="P45">
        <v>83.84</v>
      </c>
      <c r="Q45">
        <f t="shared" si="1"/>
        <v>2021</v>
      </c>
      <c r="R45" t="str">
        <f t="shared" si="2"/>
        <v>Nov</v>
      </c>
    </row>
    <row r="46" spans="1:18" x14ac:dyDescent="0.35">
      <c r="A46" t="s">
        <v>216</v>
      </c>
      <c r="B46" s="1" t="s">
        <v>217</v>
      </c>
      <c r="C46" s="1" t="s">
        <v>218</v>
      </c>
      <c r="D46" s="1">
        <f t="shared" si="0"/>
        <v>1</v>
      </c>
      <c r="E46" t="s">
        <v>115</v>
      </c>
      <c r="F46" t="s">
        <v>19</v>
      </c>
      <c r="G46" t="s">
        <v>20</v>
      </c>
      <c r="H46" t="s">
        <v>85</v>
      </c>
      <c r="I46" t="s">
        <v>85</v>
      </c>
      <c r="J46" t="s">
        <v>73</v>
      </c>
      <c r="K46" t="s">
        <v>24</v>
      </c>
      <c r="L46" t="s">
        <v>90</v>
      </c>
      <c r="M46" t="s">
        <v>219</v>
      </c>
      <c r="N46">
        <v>182.89</v>
      </c>
      <c r="O46">
        <v>7</v>
      </c>
      <c r="P46">
        <v>150.38</v>
      </c>
      <c r="Q46">
        <f t="shared" si="1"/>
        <v>2021</v>
      </c>
      <c r="R46" t="str">
        <f t="shared" si="2"/>
        <v>Oct</v>
      </c>
    </row>
    <row r="47" spans="1:18" x14ac:dyDescent="0.35">
      <c r="A47" t="s">
        <v>220</v>
      </c>
      <c r="B47" s="1" t="s">
        <v>221</v>
      </c>
      <c r="C47" s="1" t="s">
        <v>222</v>
      </c>
      <c r="D47" s="1">
        <f t="shared" si="0"/>
        <v>2</v>
      </c>
      <c r="E47" t="s">
        <v>30</v>
      </c>
      <c r="F47" t="s">
        <v>31</v>
      </c>
      <c r="G47" t="s">
        <v>20</v>
      </c>
      <c r="H47" t="s">
        <v>21</v>
      </c>
      <c r="I47" t="s">
        <v>22</v>
      </c>
      <c r="J47" t="s">
        <v>23</v>
      </c>
      <c r="K47" t="s">
        <v>66</v>
      </c>
      <c r="L47" t="s">
        <v>74</v>
      </c>
      <c r="M47" t="s">
        <v>86</v>
      </c>
      <c r="N47">
        <v>307.18</v>
      </c>
      <c r="O47">
        <v>1</v>
      </c>
      <c r="P47">
        <v>4.1399999999999997</v>
      </c>
      <c r="Q47">
        <f t="shared" si="1"/>
        <v>2021</v>
      </c>
      <c r="R47" t="str">
        <f t="shared" si="2"/>
        <v>Sep</v>
      </c>
    </row>
    <row r="48" spans="1:18" x14ac:dyDescent="0.35">
      <c r="A48" t="s">
        <v>223</v>
      </c>
      <c r="B48" s="1" t="s">
        <v>218</v>
      </c>
      <c r="C48" s="1" t="s">
        <v>224</v>
      </c>
      <c r="D48" s="1">
        <f t="shared" si="0"/>
        <v>3</v>
      </c>
      <c r="E48" t="s">
        <v>18</v>
      </c>
      <c r="F48" t="s">
        <v>31</v>
      </c>
      <c r="G48" t="s">
        <v>20</v>
      </c>
      <c r="H48" t="s">
        <v>47</v>
      </c>
      <c r="I48" t="s">
        <v>48</v>
      </c>
      <c r="J48" t="s">
        <v>23</v>
      </c>
      <c r="K48" t="s">
        <v>24</v>
      </c>
      <c r="L48" t="s">
        <v>25</v>
      </c>
      <c r="M48" t="s">
        <v>49</v>
      </c>
      <c r="N48">
        <v>1282.77</v>
      </c>
      <c r="O48">
        <v>10</v>
      </c>
      <c r="P48">
        <v>510.22</v>
      </c>
      <c r="Q48">
        <f t="shared" si="1"/>
        <v>2021</v>
      </c>
      <c r="R48" t="str">
        <f t="shared" si="2"/>
        <v>Oct</v>
      </c>
    </row>
    <row r="49" spans="1:18" x14ac:dyDescent="0.35">
      <c r="A49" t="s">
        <v>225</v>
      </c>
      <c r="B49" s="1" t="s">
        <v>226</v>
      </c>
      <c r="C49" s="1" t="s">
        <v>227</v>
      </c>
      <c r="D49" s="1">
        <f t="shared" si="0"/>
        <v>2</v>
      </c>
      <c r="E49" t="s">
        <v>38</v>
      </c>
      <c r="F49" t="s">
        <v>31</v>
      </c>
      <c r="G49" t="s">
        <v>20</v>
      </c>
      <c r="H49" t="s">
        <v>85</v>
      </c>
      <c r="I49" t="s">
        <v>85</v>
      </c>
      <c r="J49" t="s">
        <v>73</v>
      </c>
      <c r="K49" t="s">
        <v>66</v>
      </c>
      <c r="L49" t="s">
        <v>67</v>
      </c>
      <c r="M49" t="s">
        <v>228</v>
      </c>
      <c r="N49">
        <v>1086.3</v>
      </c>
      <c r="O49">
        <v>8</v>
      </c>
      <c r="P49">
        <v>59.09</v>
      </c>
      <c r="Q49">
        <f t="shared" si="1"/>
        <v>2021</v>
      </c>
      <c r="R49" t="str">
        <f t="shared" si="2"/>
        <v>Feb</v>
      </c>
    </row>
    <row r="50" spans="1:18" x14ac:dyDescent="0.35">
      <c r="A50" t="s">
        <v>229</v>
      </c>
      <c r="B50" s="1" t="s">
        <v>230</v>
      </c>
      <c r="C50" s="1" t="s">
        <v>231</v>
      </c>
      <c r="D50" s="1">
        <f t="shared" si="0"/>
        <v>4</v>
      </c>
      <c r="E50" t="s">
        <v>38</v>
      </c>
      <c r="F50" t="s">
        <v>31</v>
      </c>
      <c r="G50" t="s">
        <v>20</v>
      </c>
      <c r="H50" t="s">
        <v>53</v>
      </c>
      <c r="I50" t="s">
        <v>54</v>
      </c>
      <c r="J50" t="s">
        <v>23</v>
      </c>
      <c r="K50" t="s">
        <v>24</v>
      </c>
      <c r="L50" t="s">
        <v>90</v>
      </c>
      <c r="M50" t="s">
        <v>232</v>
      </c>
      <c r="N50">
        <v>457.45</v>
      </c>
      <c r="O50">
        <v>8</v>
      </c>
      <c r="P50">
        <v>381.07</v>
      </c>
      <c r="Q50">
        <f t="shared" si="1"/>
        <v>2021</v>
      </c>
      <c r="R50" t="str">
        <f t="shared" si="2"/>
        <v>Dec</v>
      </c>
    </row>
    <row r="51" spans="1:18" x14ac:dyDescent="0.35">
      <c r="A51" t="s">
        <v>233</v>
      </c>
      <c r="B51" s="1" t="s">
        <v>88</v>
      </c>
      <c r="C51" s="1" t="s">
        <v>234</v>
      </c>
      <c r="D51" s="1">
        <f t="shared" si="0"/>
        <v>4</v>
      </c>
      <c r="E51" t="s">
        <v>38</v>
      </c>
      <c r="F51" t="s">
        <v>72</v>
      </c>
      <c r="G51" t="s">
        <v>20</v>
      </c>
      <c r="H51" t="s">
        <v>47</v>
      </c>
      <c r="I51" t="s">
        <v>48</v>
      </c>
      <c r="J51" t="s">
        <v>41</v>
      </c>
      <c r="K51" t="s">
        <v>24</v>
      </c>
      <c r="L51" t="s">
        <v>42</v>
      </c>
      <c r="M51" t="s">
        <v>235</v>
      </c>
      <c r="N51">
        <v>1173.8</v>
      </c>
      <c r="O51">
        <v>1</v>
      </c>
      <c r="P51">
        <v>232.88</v>
      </c>
      <c r="Q51">
        <f t="shared" si="1"/>
        <v>2021</v>
      </c>
      <c r="R51" t="str">
        <f t="shared" si="2"/>
        <v>Feb</v>
      </c>
    </row>
    <row r="52" spans="1:18" x14ac:dyDescent="0.35">
      <c r="A52" t="s">
        <v>236</v>
      </c>
      <c r="B52" s="1" t="s">
        <v>237</v>
      </c>
      <c r="C52" s="1" t="s">
        <v>238</v>
      </c>
      <c r="D52" s="1">
        <f t="shared" si="0"/>
        <v>2</v>
      </c>
      <c r="E52" t="s">
        <v>115</v>
      </c>
      <c r="F52" t="s">
        <v>19</v>
      </c>
      <c r="G52" t="s">
        <v>20</v>
      </c>
      <c r="H52" t="s">
        <v>47</v>
      </c>
      <c r="I52" t="s">
        <v>48</v>
      </c>
      <c r="J52" t="s">
        <v>23</v>
      </c>
      <c r="K52" t="s">
        <v>32</v>
      </c>
      <c r="L52" t="s">
        <v>33</v>
      </c>
      <c r="M52" t="s">
        <v>239</v>
      </c>
      <c r="N52">
        <v>692.07</v>
      </c>
      <c r="O52">
        <v>3</v>
      </c>
      <c r="P52">
        <v>277.24</v>
      </c>
      <c r="Q52">
        <f t="shared" si="1"/>
        <v>2021</v>
      </c>
      <c r="R52" t="str">
        <f t="shared" si="2"/>
        <v>Aug</v>
      </c>
    </row>
    <row r="53" spans="1:18" x14ac:dyDescent="0.35">
      <c r="A53" t="s">
        <v>240</v>
      </c>
      <c r="B53" s="1" t="s">
        <v>64</v>
      </c>
      <c r="C53" s="1" t="s">
        <v>241</v>
      </c>
      <c r="D53" s="1">
        <f t="shared" si="0"/>
        <v>5</v>
      </c>
      <c r="E53" t="s">
        <v>115</v>
      </c>
      <c r="F53" t="s">
        <v>19</v>
      </c>
      <c r="G53" t="s">
        <v>20</v>
      </c>
      <c r="H53" t="s">
        <v>21</v>
      </c>
      <c r="I53" t="s">
        <v>22</v>
      </c>
      <c r="J53" t="s">
        <v>79</v>
      </c>
      <c r="K53" t="s">
        <v>32</v>
      </c>
      <c r="L53" t="s">
        <v>55</v>
      </c>
      <c r="M53" t="s">
        <v>242</v>
      </c>
      <c r="N53">
        <v>1683.7</v>
      </c>
      <c r="O53">
        <v>5</v>
      </c>
      <c r="P53">
        <v>592.70000000000005</v>
      </c>
      <c r="Q53">
        <f t="shared" si="1"/>
        <v>2021</v>
      </c>
      <c r="R53" t="str">
        <f t="shared" si="2"/>
        <v>Jan</v>
      </c>
    </row>
    <row r="54" spans="1:18" x14ac:dyDescent="0.35">
      <c r="A54" t="s">
        <v>243</v>
      </c>
      <c r="B54" s="1" t="s">
        <v>244</v>
      </c>
      <c r="C54" s="1" t="s">
        <v>245</v>
      </c>
      <c r="D54" s="1">
        <f t="shared" si="0"/>
        <v>3</v>
      </c>
      <c r="E54" t="s">
        <v>115</v>
      </c>
      <c r="F54" t="s">
        <v>31</v>
      </c>
      <c r="G54" t="s">
        <v>20</v>
      </c>
      <c r="H54" t="s">
        <v>39</v>
      </c>
      <c r="I54" t="s">
        <v>40</v>
      </c>
      <c r="J54" t="s">
        <v>79</v>
      </c>
      <c r="K54" t="s">
        <v>66</v>
      </c>
      <c r="L54" t="s">
        <v>67</v>
      </c>
      <c r="M54" t="s">
        <v>246</v>
      </c>
      <c r="N54">
        <v>783.36</v>
      </c>
      <c r="O54">
        <v>8</v>
      </c>
      <c r="P54">
        <v>419.71</v>
      </c>
      <c r="Q54">
        <f t="shared" si="1"/>
        <v>2021</v>
      </c>
      <c r="R54" t="str">
        <f t="shared" si="2"/>
        <v>Jul</v>
      </c>
    </row>
    <row r="55" spans="1:18" x14ac:dyDescent="0.35">
      <c r="A55" t="s">
        <v>247</v>
      </c>
      <c r="B55" s="1" t="s">
        <v>248</v>
      </c>
      <c r="C55" s="1" t="s">
        <v>249</v>
      </c>
      <c r="D55" s="1">
        <f t="shared" si="0"/>
        <v>4</v>
      </c>
      <c r="E55" t="s">
        <v>18</v>
      </c>
      <c r="F55" t="s">
        <v>19</v>
      </c>
      <c r="G55" t="s">
        <v>20</v>
      </c>
      <c r="H55" t="s">
        <v>39</v>
      </c>
      <c r="I55" t="s">
        <v>40</v>
      </c>
      <c r="J55" t="s">
        <v>79</v>
      </c>
      <c r="K55" t="s">
        <v>32</v>
      </c>
      <c r="L55" t="s">
        <v>61</v>
      </c>
      <c r="M55" t="s">
        <v>250</v>
      </c>
      <c r="N55">
        <v>1596.57</v>
      </c>
      <c r="O55">
        <v>6</v>
      </c>
      <c r="P55">
        <v>-11.06</v>
      </c>
      <c r="Q55">
        <f t="shared" si="1"/>
        <v>2021</v>
      </c>
      <c r="R55" t="str">
        <f t="shared" si="2"/>
        <v>Jun</v>
      </c>
    </row>
    <row r="56" spans="1:18" x14ac:dyDescent="0.35">
      <c r="A56" t="s">
        <v>251</v>
      </c>
      <c r="B56" s="1" t="s">
        <v>252</v>
      </c>
      <c r="C56" s="1" t="s">
        <v>237</v>
      </c>
      <c r="D56" s="1">
        <f t="shared" si="0"/>
        <v>1</v>
      </c>
      <c r="E56" t="s">
        <v>115</v>
      </c>
      <c r="F56" t="s">
        <v>19</v>
      </c>
      <c r="G56" t="s">
        <v>20</v>
      </c>
      <c r="H56" t="s">
        <v>47</v>
      </c>
      <c r="I56" t="s">
        <v>48</v>
      </c>
      <c r="J56" t="s">
        <v>79</v>
      </c>
      <c r="K56" t="s">
        <v>66</v>
      </c>
      <c r="L56" t="s">
        <v>67</v>
      </c>
      <c r="M56" t="s">
        <v>155</v>
      </c>
      <c r="N56">
        <v>680.49</v>
      </c>
      <c r="O56">
        <v>7</v>
      </c>
      <c r="P56">
        <v>622.20000000000005</v>
      </c>
      <c r="Q56">
        <f t="shared" si="1"/>
        <v>2021</v>
      </c>
      <c r="R56" t="str">
        <f t="shared" si="2"/>
        <v>Aug</v>
      </c>
    </row>
    <row r="57" spans="1:18" x14ac:dyDescent="0.35">
      <c r="A57" t="s">
        <v>253</v>
      </c>
      <c r="B57" s="1" t="s">
        <v>46</v>
      </c>
      <c r="C57" s="1" t="s">
        <v>157</v>
      </c>
      <c r="D57" s="1">
        <f t="shared" si="0"/>
        <v>5</v>
      </c>
      <c r="E57" t="s">
        <v>115</v>
      </c>
      <c r="F57" t="s">
        <v>19</v>
      </c>
      <c r="G57" t="s">
        <v>20</v>
      </c>
      <c r="H57" t="s">
        <v>47</v>
      </c>
      <c r="I57" t="s">
        <v>48</v>
      </c>
      <c r="J57" t="s">
        <v>79</v>
      </c>
      <c r="K57" t="s">
        <v>66</v>
      </c>
      <c r="L57" t="s">
        <v>74</v>
      </c>
      <c r="M57" t="s">
        <v>254</v>
      </c>
      <c r="N57">
        <v>57.02</v>
      </c>
      <c r="O57">
        <v>2</v>
      </c>
      <c r="P57">
        <v>-155.08000000000001</v>
      </c>
      <c r="Q57">
        <f t="shared" si="1"/>
        <v>2021</v>
      </c>
      <c r="R57" t="str">
        <f t="shared" si="2"/>
        <v>Sep</v>
      </c>
    </row>
    <row r="58" spans="1:18" x14ac:dyDescent="0.35">
      <c r="A58" t="s">
        <v>255</v>
      </c>
      <c r="B58" s="1" t="s">
        <v>245</v>
      </c>
      <c r="C58" s="1" t="s">
        <v>256</v>
      </c>
      <c r="D58" s="1">
        <f t="shared" si="0"/>
        <v>1</v>
      </c>
      <c r="E58" t="s">
        <v>18</v>
      </c>
      <c r="F58" t="s">
        <v>19</v>
      </c>
      <c r="G58" t="s">
        <v>20</v>
      </c>
      <c r="H58" t="s">
        <v>39</v>
      </c>
      <c r="I58" t="s">
        <v>40</v>
      </c>
      <c r="J58" t="s">
        <v>73</v>
      </c>
      <c r="K58" t="s">
        <v>66</v>
      </c>
      <c r="L58" t="s">
        <v>67</v>
      </c>
      <c r="M58" t="s">
        <v>257</v>
      </c>
      <c r="N58">
        <v>1669.82</v>
      </c>
      <c r="O58">
        <v>6</v>
      </c>
      <c r="P58">
        <v>-112.89</v>
      </c>
      <c r="Q58">
        <f t="shared" si="1"/>
        <v>2021</v>
      </c>
      <c r="R58" t="str">
        <f t="shared" si="2"/>
        <v>Jul</v>
      </c>
    </row>
    <row r="59" spans="1:18" x14ac:dyDescent="0.35">
      <c r="A59" t="s">
        <v>258</v>
      </c>
      <c r="B59" s="1" t="s">
        <v>259</v>
      </c>
      <c r="C59" s="1" t="s">
        <v>260</v>
      </c>
      <c r="D59" s="1">
        <f t="shared" si="0"/>
        <v>2</v>
      </c>
      <c r="E59" t="s">
        <v>115</v>
      </c>
      <c r="F59" t="s">
        <v>31</v>
      </c>
      <c r="G59" t="s">
        <v>20</v>
      </c>
      <c r="H59" t="s">
        <v>85</v>
      </c>
      <c r="I59" t="s">
        <v>85</v>
      </c>
      <c r="J59" t="s">
        <v>79</v>
      </c>
      <c r="K59" t="s">
        <v>32</v>
      </c>
      <c r="L59" t="s">
        <v>55</v>
      </c>
      <c r="M59" t="s">
        <v>261</v>
      </c>
      <c r="N59">
        <v>438.84</v>
      </c>
      <c r="O59">
        <v>7</v>
      </c>
      <c r="P59">
        <v>-49.23</v>
      </c>
      <c r="Q59">
        <f t="shared" si="1"/>
        <v>2021</v>
      </c>
      <c r="R59" t="str">
        <f t="shared" si="2"/>
        <v>Jul</v>
      </c>
    </row>
    <row r="60" spans="1:18" x14ac:dyDescent="0.35">
      <c r="A60" t="s">
        <v>262</v>
      </c>
      <c r="B60" s="1" t="s">
        <v>263</v>
      </c>
      <c r="C60" s="1" t="s">
        <v>264</v>
      </c>
      <c r="D60" s="1">
        <f t="shared" si="0"/>
        <v>3</v>
      </c>
      <c r="E60" t="s">
        <v>38</v>
      </c>
      <c r="F60" t="s">
        <v>19</v>
      </c>
      <c r="G60" t="s">
        <v>20</v>
      </c>
      <c r="H60" t="s">
        <v>53</v>
      </c>
      <c r="I60" t="s">
        <v>54</v>
      </c>
      <c r="J60" t="s">
        <v>73</v>
      </c>
      <c r="K60" t="s">
        <v>66</v>
      </c>
      <c r="L60" t="s">
        <v>80</v>
      </c>
      <c r="M60" t="s">
        <v>265</v>
      </c>
      <c r="N60">
        <v>1355.57</v>
      </c>
      <c r="O60">
        <v>8</v>
      </c>
      <c r="P60">
        <v>221.45</v>
      </c>
      <c r="Q60">
        <f t="shared" si="1"/>
        <v>2021</v>
      </c>
      <c r="R60" t="str">
        <f t="shared" si="2"/>
        <v>Oct</v>
      </c>
    </row>
    <row r="61" spans="1:18" x14ac:dyDescent="0.35">
      <c r="A61" t="s">
        <v>266</v>
      </c>
      <c r="B61" s="1" t="s">
        <v>267</v>
      </c>
      <c r="C61" s="1" t="s">
        <v>268</v>
      </c>
      <c r="D61" s="1">
        <f t="shared" si="0"/>
        <v>3</v>
      </c>
      <c r="E61" t="s">
        <v>38</v>
      </c>
      <c r="F61" t="s">
        <v>31</v>
      </c>
      <c r="G61" t="s">
        <v>20</v>
      </c>
      <c r="H61" t="s">
        <v>21</v>
      </c>
      <c r="I61" t="s">
        <v>22</v>
      </c>
      <c r="J61" t="s">
        <v>41</v>
      </c>
      <c r="K61" t="s">
        <v>66</v>
      </c>
      <c r="L61" t="s">
        <v>80</v>
      </c>
      <c r="M61" t="s">
        <v>269</v>
      </c>
      <c r="N61">
        <v>466.31</v>
      </c>
      <c r="O61">
        <v>1</v>
      </c>
      <c r="P61">
        <v>618.01</v>
      </c>
      <c r="Q61">
        <f t="shared" si="1"/>
        <v>2021</v>
      </c>
      <c r="R61" t="str">
        <f t="shared" si="2"/>
        <v>Nov</v>
      </c>
    </row>
    <row r="62" spans="1:18" x14ac:dyDescent="0.35">
      <c r="A62" t="s">
        <v>270</v>
      </c>
      <c r="B62" s="1" t="s">
        <v>271</v>
      </c>
      <c r="C62" s="1" t="s">
        <v>272</v>
      </c>
      <c r="D62" s="1">
        <f t="shared" si="0"/>
        <v>4</v>
      </c>
      <c r="E62" t="s">
        <v>30</v>
      </c>
      <c r="F62" t="s">
        <v>19</v>
      </c>
      <c r="G62" t="s">
        <v>20</v>
      </c>
      <c r="H62" t="s">
        <v>47</v>
      </c>
      <c r="I62" t="s">
        <v>48</v>
      </c>
      <c r="J62" t="s">
        <v>41</v>
      </c>
      <c r="K62" t="s">
        <v>66</v>
      </c>
      <c r="L62" t="s">
        <v>67</v>
      </c>
      <c r="M62" t="s">
        <v>273</v>
      </c>
      <c r="N62">
        <v>1306.1099999999999</v>
      </c>
      <c r="O62">
        <v>1</v>
      </c>
      <c r="P62">
        <v>251.07</v>
      </c>
      <c r="Q62">
        <f t="shared" si="1"/>
        <v>2021</v>
      </c>
      <c r="R62" t="str">
        <f t="shared" si="2"/>
        <v>Feb</v>
      </c>
    </row>
    <row r="63" spans="1:18" x14ac:dyDescent="0.35">
      <c r="A63" t="s">
        <v>274</v>
      </c>
      <c r="B63" s="1" t="s">
        <v>275</v>
      </c>
      <c r="C63" s="1" t="s">
        <v>276</v>
      </c>
      <c r="D63" s="1">
        <f t="shared" si="0"/>
        <v>3</v>
      </c>
      <c r="E63" t="s">
        <v>60</v>
      </c>
      <c r="F63" t="s">
        <v>31</v>
      </c>
      <c r="G63" t="s">
        <v>20</v>
      </c>
      <c r="H63" t="s">
        <v>47</v>
      </c>
      <c r="I63" t="s">
        <v>48</v>
      </c>
      <c r="J63" t="s">
        <v>23</v>
      </c>
      <c r="K63" t="s">
        <v>24</v>
      </c>
      <c r="L63" t="s">
        <v>90</v>
      </c>
      <c r="M63" t="s">
        <v>277</v>
      </c>
      <c r="N63">
        <v>1734.93</v>
      </c>
      <c r="O63">
        <v>4</v>
      </c>
      <c r="P63">
        <v>295.81</v>
      </c>
      <c r="Q63">
        <f t="shared" si="1"/>
        <v>2021</v>
      </c>
      <c r="R63" t="str">
        <f t="shared" si="2"/>
        <v>Dec</v>
      </c>
    </row>
    <row r="64" spans="1:18" x14ac:dyDescent="0.35">
      <c r="A64" t="s">
        <v>278</v>
      </c>
      <c r="B64" s="1" t="s">
        <v>101</v>
      </c>
      <c r="C64" s="1" t="s">
        <v>279</v>
      </c>
      <c r="D64" s="1">
        <f t="shared" si="0"/>
        <v>4</v>
      </c>
      <c r="E64" t="s">
        <v>38</v>
      </c>
      <c r="F64" t="s">
        <v>31</v>
      </c>
      <c r="G64" t="s">
        <v>20</v>
      </c>
      <c r="H64" t="s">
        <v>39</v>
      </c>
      <c r="I64" t="s">
        <v>40</v>
      </c>
      <c r="J64" t="s">
        <v>79</v>
      </c>
      <c r="K64" t="s">
        <v>66</v>
      </c>
      <c r="L64" t="s">
        <v>80</v>
      </c>
      <c r="M64" t="s">
        <v>280</v>
      </c>
      <c r="N64">
        <v>147.35</v>
      </c>
      <c r="O64">
        <v>1</v>
      </c>
      <c r="P64">
        <v>417.52</v>
      </c>
      <c r="Q64">
        <f t="shared" si="1"/>
        <v>2021</v>
      </c>
      <c r="R64" t="str">
        <f t="shared" si="2"/>
        <v>Apr</v>
      </c>
    </row>
    <row r="65" spans="1:18" x14ac:dyDescent="0.35">
      <c r="A65" t="s">
        <v>281</v>
      </c>
      <c r="B65" s="1" t="s">
        <v>248</v>
      </c>
      <c r="C65" s="1" t="s">
        <v>282</v>
      </c>
      <c r="D65" s="1">
        <f t="shared" si="0"/>
        <v>5</v>
      </c>
      <c r="E65" t="s">
        <v>30</v>
      </c>
      <c r="F65" t="s">
        <v>72</v>
      </c>
      <c r="G65" t="s">
        <v>20</v>
      </c>
      <c r="H65" t="s">
        <v>53</v>
      </c>
      <c r="I65" t="s">
        <v>54</v>
      </c>
      <c r="J65" t="s">
        <v>23</v>
      </c>
      <c r="K65" t="s">
        <v>32</v>
      </c>
      <c r="L65" t="s">
        <v>55</v>
      </c>
      <c r="M65" t="s">
        <v>165</v>
      </c>
      <c r="N65">
        <v>366.49</v>
      </c>
      <c r="O65">
        <v>1</v>
      </c>
      <c r="P65">
        <v>77.849999999999994</v>
      </c>
      <c r="Q65">
        <f t="shared" si="1"/>
        <v>2021</v>
      </c>
      <c r="R65" t="str">
        <f t="shared" si="2"/>
        <v>Jun</v>
      </c>
    </row>
    <row r="66" spans="1:18" x14ac:dyDescent="0.35">
      <c r="A66" t="s">
        <v>283</v>
      </c>
      <c r="B66" s="1" t="s">
        <v>93</v>
      </c>
      <c r="C66" s="1" t="s">
        <v>284</v>
      </c>
      <c r="D66" s="1">
        <f t="shared" si="0"/>
        <v>2</v>
      </c>
      <c r="E66" t="s">
        <v>115</v>
      </c>
      <c r="F66" t="s">
        <v>19</v>
      </c>
      <c r="G66" t="s">
        <v>20</v>
      </c>
      <c r="H66" t="s">
        <v>21</v>
      </c>
      <c r="I66" t="s">
        <v>22</v>
      </c>
      <c r="J66" t="s">
        <v>41</v>
      </c>
      <c r="K66" t="s">
        <v>32</v>
      </c>
      <c r="L66" t="s">
        <v>61</v>
      </c>
      <c r="M66" t="s">
        <v>285</v>
      </c>
      <c r="N66">
        <v>1859.81</v>
      </c>
      <c r="O66">
        <v>10</v>
      </c>
      <c r="P66">
        <v>-2.62</v>
      </c>
      <c r="Q66">
        <f t="shared" si="1"/>
        <v>2021</v>
      </c>
      <c r="R66" t="str">
        <f t="shared" si="2"/>
        <v>Nov</v>
      </c>
    </row>
    <row r="67" spans="1:18" x14ac:dyDescent="0.35">
      <c r="A67" t="s">
        <v>286</v>
      </c>
      <c r="B67" s="1" t="s">
        <v>135</v>
      </c>
      <c r="C67" s="1" t="s">
        <v>210</v>
      </c>
      <c r="D67" s="1">
        <f t="shared" ref="D67:D130" si="3">C67-B67</f>
        <v>4</v>
      </c>
      <c r="E67" t="s">
        <v>38</v>
      </c>
      <c r="F67" t="s">
        <v>19</v>
      </c>
      <c r="G67" t="s">
        <v>20</v>
      </c>
      <c r="H67" t="s">
        <v>85</v>
      </c>
      <c r="I67" t="s">
        <v>85</v>
      </c>
      <c r="J67" t="s">
        <v>41</v>
      </c>
      <c r="K67" t="s">
        <v>66</v>
      </c>
      <c r="L67" t="s">
        <v>74</v>
      </c>
      <c r="M67" t="s">
        <v>287</v>
      </c>
      <c r="N67">
        <v>739.13</v>
      </c>
      <c r="O67">
        <v>3</v>
      </c>
      <c r="P67">
        <v>441.39</v>
      </c>
      <c r="Q67">
        <f t="shared" ref="Q67:Q130" si="4">YEAR(B67)</f>
        <v>2021</v>
      </c>
      <c r="R67" t="str">
        <f t="shared" ref="R67:R130" si="5">TEXT(B67,"MMM")</f>
        <v>Aug</v>
      </c>
    </row>
    <row r="68" spans="1:18" x14ac:dyDescent="0.35">
      <c r="A68" t="s">
        <v>288</v>
      </c>
      <c r="B68" s="1" t="s">
        <v>227</v>
      </c>
      <c r="C68" s="1" t="s">
        <v>289</v>
      </c>
      <c r="D68" s="1">
        <f t="shared" si="3"/>
        <v>5</v>
      </c>
      <c r="E68" t="s">
        <v>18</v>
      </c>
      <c r="F68" t="s">
        <v>72</v>
      </c>
      <c r="G68" t="s">
        <v>20</v>
      </c>
      <c r="H68" t="s">
        <v>21</v>
      </c>
      <c r="I68" t="s">
        <v>22</v>
      </c>
      <c r="J68" t="s">
        <v>79</v>
      </c>
      <c r="K68" t="s">
        <v>66</v>
      </c>
      <c r="L68" t="s">
        <v>67</v>
      </c>
      <c r="M68" t="s">
        <v>290</v>
      </c>
      <c r="N68">
        <v>1175.99</v>
      </c>
      <c r="O68">
        <v>10</v>
      </c>
      <c r="P68">
        <v>69.510000000000005</v>
      </c>
      <c r="Q68">
        <f t="shared" si="4"/>
        <v>2021</v>
      </c>
      <c r="R68" t="str">
        <f t="shared" si="5"/>
        <v>Feb</v>
      </c>
    </row>
    <row r="69" spans="1:18" x14ac:dyDescent="0.35">
      <c r="A69" t="s">
        <v>291</v>
      </c>
      <c r="B69" s="1" t="s">
        <v>292</v>
      </c>
      <c r="C69" s="1" t="s">
        <v>293</v>
      </c>
      <c r="D69" s="1">
        <f t="shared" si="3"/>
        <v>5</v>
      </c>
      <c r="E69" t="s">
        <v>60</v>
      </c>
      <c r="F69" t="s">
        <v>19</v>
      </c>
      <c r="G69" t="s">
        <v>20</v>
      </c>
      <c r="H69" t="s">
        <v>85</v>
      </c>
      <c r="I69" t="s">
        <v>85</v>
      </c>
      <c r="J69" t="s">
        <v>79</v>
      </c>
      <c r="K69" t="s">
        <v>66</v>
      </c>
      <c r="L69" t="s">
        <v>80</v>
      </c>
      <c r="M69" t="s">
        <v>294</v>
      </c>
      <c r="N69">
        <v>815.48</v>
      </c>
      <c r="O69">
        <v>10</v>
      </c>
      <c r="P69">
        <v>88.51</v>
      </c>
      <c r="Q69">
        <f t="shared" si="4"/>
        <v>2021</v>
      </c>
      <c r="R69" t="str">
        <f t="shared" si="5"/>
        <v>Jun</v>
      </c>
    </row>
    <row r="70" spans="1:18" x14ac:dyDescent="0.35">
      <c r="A70" t="s">
        <v>295</v>
      </c>
      <c r="B70" s="1" t="s">
        <v>143</v>
      </c>
      <c r="C70" s="1" t="s">
        <v>185</v>
      </c>
      <c r="D70" s="1">
        <f t="shared" si="3"/>
        <v>3</v>
      </c>
      <c r="E70" t="s">
        <v>38</v>
      </c>
      <c r="F70" t="s">
        <v>19</v>
      </c>
      <c r="G70" t="s">
        <v>20</v>
      </c>
      <c r="H70" t="s">
        <v>85</v>
      </c>
      <c r="I70" t="s">
        <v>85</v>
      </c>
      <c r="J70" t="s">
        <v>73</v>
      </c>
      <c r="K70" t="s">
        <v>32</v>
      </c>
      <c r="L70" t="s">
        <v>61</v>
      </c>
      <c r="M70" t="s">
        <v>296</v>
      </c>
      <c r="N70">
        <v>1824.74</v>
      </c>
      <c r="O70">
        <v>9</v>
      </c>
      <c r="P70">
        <v>-141.94999999999999</v>
      </c>
      <c r="Q70">
        <f t="shared" si="4"/>
        <v>2021</v>
      </c>
      <c r="R70" t="str">
        <f t="shared" si="5"/>
        <v>Jun</v>
      </c>
    </row>
    <row r="71" spans="1:18" x14ac:dyDescent="0.35">
      <c r="A71" t="s">
        <v>297</v>
      </c>
      <c r="B71" s="1" t="s">
        <v>298</v>
      </c>
      <c r="C71" s="1" t="s">
        <v>299</v>
      </c>
      <c r="D71" s="1">
        <f t="shared" si="3"/>
        <v>1</v>
      </c>
      <c r="E71" t="s">
        <v>60</v>
      </c>
      <c r="F71" t="s">
        <v>31</v>
      </c>
      <c r="G71" t="s">
        <v>20</v>
      </c>
      <c r="H71" t="s">
        <v>85</v>
      </c>
      <c r="I71" t="s">
        <v>85</v>
      </c>
      <c r="J71" t="s">
        <v>79</v>
      </c>
      <c r="K71" t="s">
        <v>24</v>
      </c>
      <c r="L71" t="s">
        <v>42</v>
      </c>
      <c r="M71" t="s">
        <v>300</v>
      </c>
      <c r="N71">
        <v>1616.62</v>
      </c>
      <c r="O71">
        <v>3</v>
      </c>
      <c r="P71">
        <v>542.66999999999996</v>
      </c>
      <c r="Q71">
        <f t="shared" si="4"/>
        <v>2021</v>
      </c>
      <c r="R71" t="str">
        <f t="shared" si="5"/>
        <v>Aug</v>
      </c>
    </row>
    <row r="72" spans="1:18" x14ac:dyDescent="0.35">
      <c r="A72" t="s">
        <v>301</v>
      </c>
      <c r="B72" s="1" t="s">
        <v>106</v>
      </c>
      <c r="C72" s="1" t="s">
        <v>302</v>
      </c>
      <c r="D72" s="1">
        <f t="shared" si="3"/>
        <v>2</v>
      </c>
      <c r="E72" t="s">
        <v>38</v>
      </c>
      <c r="F72" t="s">
        <v>31</v>
      </c>
      <c r="G72" t="s">
        <v>20</v>
      </c>
      <c r="H72" t="s">
        <v>53</v>
      </c>
      <c r="I72" t="s">
        <v>54</v>
      </c>
      <c r="J72" t="s">
        <v>79</v>
      </c>
      <c r="K72" t="s">
        <v>24</v>
      </c>
      <c r="L72" t="s">
        <v>90</v>
      </c>
      <c r="M72" t="s">
        <v>232</v>
      </c>
      <c r="N72">
        <v>404.99</v>
      </c>
      <c r="O72">
        <v>7</v>
      </c>
      <c r="P72">
        <v>571.53</v>
      </c>
      <c r="Q72">
        <f t="shared" si="4"/>
        <v>2021</v>
      </c>
      <c r="R72" t="str">
        <f t="shared" si="5"/>
        <v>May</v>
      </c>
    </row>
    <row r="73" spans="1:18" x14ac:dyDescent="0.35">
      <c r="A73" t="s">
        <v>303</v>
      </c>
      <c r="B73" s="1" t="s">
        <v>164</v>
      </c>
      <c r="C73" s="1" t="s">
        <v>172</v>
      </c>
      <c r="D73" s="1">
        <f t="shared" si="3"/>
        <v>3</v>
      </c>
      <c r="E73" t="s">
        <v>18</v>
      </c>
      <c r="F73" t="s">
        <v>31</v>
      </c>
      <c r="G73" t="s">
        <v>20</v>
      </c>
      <c r="H73" t="s">
        <v>39</v>
      </c>
      <c r="I73" t="s">
        <v>40</v>
      </c>
      <c r="J73" t="s">
        <v>23</v>
      </c>
      <c r="K73" t="s">
        <v>32</v>
      </c>
      <c r="L73" t="s">
        <v>61</v>
      </c>
      <c r="M73" t="s">
        <v>304</v>
      </c>
      <c r="N73">
        <v>1036.44</v>
      </c>
      <c r="O73">
        <v>1</v>
      </c>
      <c r="P73">
        <v>557.34</v>
      </c>
      <c r="Q73">
        <f t="shared" si="4"/>
        <v>2021</v>
      </c>
      <c r="R73" t="str">
        <f t="shared" si="5"/>
        <v>Nov</v>
      </c>
    </row>
    <row r="74" spans="1:18" x14ac:dyDescent="0.35">
      <c r="A74" t="s">
        <v>305</v>
      </c>
      <c r="B74" s="1" t="s">
        <v>306</v>
      </c>
      <c r="C74" s="1" t="s">
        <v>307</v>
      </c>
      <c r="D74" s="1">
        <f t="shared" si="3"/>
        <v>3</v>
      </c>
      <c r="E74" t="s">
        <v>38</v>
      </c>
      <c r="F74" t="s">
        <v>19</v>
      </c>
      <c r="G74" t="s">
        <v>20</v>
      </c>
      <c r="H74" t="s">
        <v>39</v>
      </c>
      <c r="I74" t="s">
        <v>40</v>
      </c>
      <c r="J74" t="s">
        <v>79</v>
      </c>
      <c r="K74" t="s">
        <v>32</v>
      </c>
      <c r="L74" t="s">
        <v>55</v>
      </c>
      <c r="M74" t="s">
        <v>242</v>
      </c>
      <c r="N74">
        <v>183.9</v>
      </c>
      <c r="O74">
        <v>4</v>
      </c>
      <c r="P74">
        <v>457.35</v>
      </c>
      <c r="Q74">
        <f t="shared" si="4"/>
        <v>2021</v>
      </c>
      <c r="R74" t="str">
        <f t="shared" si="5"/>
        <v>Dec</v>
      </c>
    </row>
    <row r="75" spans="1:18" x14ac:dyDescent="0.35">
      <c r="A75" t="s">
        <v>308</v>
      </c>
      <c r="B75" s="1" t="s">
        <v>309</v>
      </c>
      <c r="C75" s="1" t="s">
        <v>310</v>
      </c>
      <c r="D75" s="1">
        <f t="shared" si="3"/>
        <v>5</v>
      </c>
      <c r="E75" t="s">
        <v>18</v>
      </c>
      <c r="F75" t="s">
        <v>31</v>
      </c>
      <c r="G75" t="s">
        <v>20</v>
      </c>
      <c r="H75" t="s">
        <v>39</v>
      </c>
      <c r="I75" t="s">
        <v>40</v>
      </c>
      <c r="J75" t="s">
        <v>79</v>
      </c>
      <c r="K75" t="s">
        <v>66</v>
      </c>
      <c r="L75" t="s">
        <v>74</v>
      </c>
      <c r="M75" t="s">
        <v>311</v>
      </c>
      <c r="N75">
        <v>1311.72</v>
      </c>
      <c r="O75">
        <v>3</v>
      </c>
      <c r="P75">
        <v>316.60000000000002</v>
      </c>
      <c r="Q75">
        <f t="shared" si="4"/>
        <v>2021</v>
      </c>
      <c r="R75" t="str">
        <f t="shared" si="5"/>
        <v>Nov</v>
      </c>
    </row>
    <row r="76" spans="1:18" x14ac:dyDescent="0.35">
      <c r="A76" t="s">
        <v>312</v>
      </c>
      <c r="B76" s="1" t="s">
        <v>313</v>
      </c>
      <c r="C76" s="1" t="s">
        <v>314</v>
      </c>
      <c r="D76" s="1">
        <f t="shared" si="3"/>
        <v>1</v>
      </c>
      <c r="E76" t="s">
        <v>18</v>
      </c>
      <c r="F76" t="s">
        <v>31</v>
      </c>
      <c r="G76" t="s">
        <v>20</v>
      </c>
      <c r="H76" t="s">
        <v>53</v>
      </c>
      <c r="I76" t="s">
        <v>54</v>
      </c>
      <c r="J76" t="s">
        <v>79</v>
      </c>
      <c r="K76" t="s">
        <v>32</v>
      </c>
      <c r="L76" t="s">
        <v>61</v>
      </c>
      <c r="M76" t="s">
        <v>315</v>
      </c>
      <c r="N76">
        <v>269.11</v>
      </c>
      <c r="O76">
        <v>5</v>
      </c>
      <c r="P76">
        <v>-114.84</v>
      </c>
      <c r="Q76">
        <f t="shared" si="4"/>
        <v>2021</v>
      </c>
      <c r="R76" t="str">
        <f t="shared" si="5"/>
        <v>Jan</v>
      </c>
    </row>
    <row r="77" spans="1:18" x14ac:dyDescent="0.35">
      <c r="A77" t="s">
        <v>316</v>
      </c>
      <c r="B77" s="1" t="s">
        <v>317</v>
      </c>
      <c r="C77" s="1" t="s">
        <v>318</v>
      </c>
      <c r="D77" s="1">
        <f t="shared" si="3"/>
        <v>2</v>
      </c>
      <c r="E77" t="s">
        <v>18</v>
      </c>
      <c r="F77" t="s">
        <v>31</v>
      </c>
      <c r="G77" t="s">
        <v>20</v>
      </c>
      <c r="H77" t="s">
        <v>39</v>
      </c>
      <c r="I77" t="s">
        <v>40</v>
      </c>
      <c r="J77" t="s">
        <v>23</v>
      </c>
      <c r="K77" t="s">
        <v>24</v>
      </c>
      <c r="L77" t="s">
        <v>42</v>
      </c>
      <c r="M77" t="s">
        <v>319</v>
      </c>
      <c r="N77">
        <v>173.69</v>
      </c>
      <c r="O77">
        <v>5</v>
      </c>
      <c r="P77">
        <v>-120.75</v>
      </c>
      <c r="Q77">
        <f t="shared" si="4"/>
        <v>2021</v>
      </c>
      <c r="R77" t="str">
        <f t="shared" si="5"/>
        <v>Sep</v>
      </c>
    </row>
    <row r="78" spans="1:18" x14ac:dyDescent="0.35">
      <c r="A78" t="s">
        <v>320</v>
      </c>
      <c r="B78" s="1" t="s">
        <v>189</v>
      </c>
      <c r="C78" s="1" t="s">
        <v>127</v>
      </c>
      <c r="D78" s="1">
        <f t="shared" si="3"/>
        <v>2</v>
      </c>
      <c r="E78" t="s">
        <v>115</v>
      </c>
      <c r="F78" t="s">
        <v>19</v>
      </c>
      <c r="G78" t="s">
        <v>20</v>
      </c>
      <c r="H78" t="s">
        <v>53</v>
      </c>
      <c r="I78" t="s">
        <v>54</v>
      </c>
      <c r="J78" t="s">
        <v>41</v>
      </c>
      <c r="K78" t="s">
        <v>32</v>
      </c>
      <c r="L78" t="s">
        <v>61</v>
      </c>
      <c r="M78" t="s">
        <v>169</v>
      </c>
      <c r="N78">
        <v>1205.23</v>
      </c>
      <c r="O78">
        <v>2</v>
      </c>
      <c r="P78">
        <v>284.47000000000003</v>
      </c>
      <c r="Q78">
        <f t="shared" si="4"/>
        <v>2021</v>
      </c>
      <c r="R78" t="str">
        <f t="shared" si="5"/>
        <v>Apr</v>
      </c>
    </row>
    <row r="79" spans="1:18" x14ac:dyDescent="0.35">
      <c r="A79" t="s">
        <v>321</v>
      </c>
      <c r="B79" s="1" t="s">
        <v>322</v>
      </c>
      <c r="C79" s="1" t="s">
        <v>323</v>
      </c>
      <c r="D79" s="1">
        <f t="shared" si="3"/>
        <v>3</v>
      </c>
      <c r="E79" t="s">
        <v>38</v>
      </c>
      <c r="F79" t="s">
        <v>31</v>
      </c>
      <c r="G79" t="s">
        <v>20</v>
      </c>
      <c r="H79" t="s">
        <v>47</v>
      </c>
      <c r="I79" t="s">
        <v>48</v>
      </c>
      <c r="J79" t="s">
        <v>23</v>
      </c>
      <c r="K79" t="s">
        <v>66</v>
      </c>
      <c r="L79" t="s">
        <v>67</v>
      </c>
      <c r="M79" t="s">
        <v>324</v>
      </c>
      <c r="N79">
        <v>456.26</v>
      </c>
      <c r="O79">
        <v>9</v>
      </c>
      <c r="P79">
        <v>92.13</v>
      </c>
      <c r="Q79">
        <f t="shared" si="4"/>
        <v>2021</v>
      </c>
      <c r="R79" t="str">
        <f t="shared" si="5"/>
        <v>Jan</v>
      </c>
    </row>
    <row r="80" spans="1:18" x14ac:dyDescent="0.35">
      <c r="A80" t="s">
        <v>325</v>
      </c>
      <c r="B80" s="1" t="s">
        <v>65</v>
      </c>
      <c r="C80" s="1" t="s">
        <v>326</v>
      </c>
      <c r="D80" s="1">
        <f t="shared" si="3"/>
        <v>2</v>
      </c>
      <c r="E80" t="s">
        <v>38</v>
      </c>
      <c r="F80" t="s">
        <v>19</v>
      </c>
      <c r="G80" t="s">
        <v>20</v>
      </c>
      <c r="H80" t="s">
        <v>39</v>
      </c>
      <c r="I80" t="s">
        <v>40</v>
      </c>
      <c r="J80" t="s">
        <v>41</v>
      </c>
      <c r="K80" t="s">
        <v>66</v>
      </c>
      <c r="L80" t="s">
        <v>80</v>
      </c>
      <c r="M80" t="s">
        <v>327</v>
      </c>
      <c r="N80">
        <v>1048.07</v>
      </c>
      <c r="O80">
        <v>10</v>
      </c>
      <c r="P80">
        <v>-113.18</v>
      </c>
      <c r="Q80">
        <f t="shared" si="4"/>
        <v>2021</v>
      </c>
      <c r="R80" t="str">
        <f t="shared" si="5"/>
        <v>Jan</v>
      </c>
    </row>
    <row r="81" spans="1:18" x14ac:dyDescent="0.35">
      <c r="A81" t="s">
        <v>328</v>
      </c>
      <c r="B81" s="1" t="s">
        <v>322</v>
      </c>
      <c r="C81" s="1" t="s">
        <v>329</v>
      </c>
      <c r="D81" s="1">
        <f t="shared" si="3"/>
        <v>2</v>
      </c>
      <c r="E81" t="s">
        <v>30</v>
      </c>
      <c r="F81" t="s">
        <v>31</v>
      </c>
      <c r="G81" t="s">
        <v>20</v>
      </c>
      <c r="H81" t="s">
        <v>47</v>
      </c>
      <c r="I81" t="s">
        <v>48</v>
      </c>
      <c r="J81" t="s">
        <v>23</v>
      </c>
      <c r="K81" t="s">
        <v>66</v>
      </c>
      <c r="L81" t="s">
        <v>67</v>
      </c>
      <c r="M81" t="s">
        <v>330</v>
      </c>
      <c r="N81">
        <v>1956.98</v>
      </c>
      <c r="O81">
        <v>6</v>
      </c>
      <c r="P81">
        <v>-34.85</v>
      </c>
      <c r="Q81">
        <f t="shared" si="4"/>
        <v>2021</v>
      </c>
      <c r="R81" t="str">
        <f t="shared" si="5"/>
        <v>Jan</v>
      </c>
    </row>
    <row r="82" spans="1:18" x14ac:dyDescent="0.35">
      <c r="A82" t="s">
        <v>331</v>
      </c>
      <c r="B82" s="1" t="s">
        <v>313</v>
      </c>
      <c r="C82" s="1" t="s">
        <v>314</v>
      </c>
      <c r="D82" s="1">
        <f t="shared" si="3"/>
        <v>1</v>
      </c>
      <c r="E82" t="s">
        <v>115</v>
      </c>
      <c r="F82" t="s">
        <v>72</v>
      </c>
      <c r="G82" t="s">
        <v>20</v>
      </c>
      <c r="H82" t="s">
        <v>53</v>
      </c>
      <c r="I82" t="s">
        <v>54</v>
      </c>
      <c r="J82" t="s">
        <v>73</v>
      </c>
      <c r="K82" t="s">
        <v>24</v>
      </c>
      <c r="L82" t="s">
        <v>42</v>
      </c>
      <c r="M82" t="s">
        <v>332</v>
      </c>
      <c r="N82">
        <v>424.83</v>
      </c>
      <c r="O82">
        <v>5</v>
      </c>
      <c r="P82">
        <v>-35.46</v>
      </c>
      <c r="Q82">
        <f t="shared" si="4"/>
        <v>2021</v>
      </c>
      <c r="R82" t="str">
        <f t="shared" si="5"/>
        <v>Jan</v>
      </c>
    </row>
    <row r="83" spans="1:18" x14ac:dyDescent="0.35">
      <c r="A83" t="s">
        <v>333</v>
      </c>
      <c r="B83" s="1" t="s">
        <v>93</v>
      </c>
      <c r="C83" s="1" t="s">
        <v>284</v>
      </c>
      <c r="D83" s="1">
        <f t="shared" si="3"/>
        <v>2</v>
      </c>
      <c r="E83" t="s">
        <v>18</v>
      </c>
      <c r="F83" t="s">
        <v>31</v>
      </c>
      <c r="G83" t="s">
        <v>20</v>
      </c>
      <c r="H83" t="s">
        <v>53</v>
      </c>
      <c r="I83" t="s">
        <v>54</v>
      </c>
      <c r="J83" t="s">
        <v>79</v>
      </c>
      <c r="K83" t="s">
        <v>32</v>
      </c>
      <c r="L83" t="s">
        <v>55</v>
      </c>
      <c r="M83" t="s">
        <v>334</v>
      </c>
      <c r="N83">
        <v>1148.27</v>
      </c>
      <c r="O83">
        <v>1</v>
      </c>
      <c r="P83">
        <v>391.65</v>
      </c>
      <c r="Q83">
        <f t="shared" si="4"/>
        <v>2021</v>
      </c>
      <c r="R83" t="str">
        <f t="shared" si="5"/>
        <v>Nov</v>
      </c>
    </row>
    <row r="84" spans="1:18" x14ac:dyDescent="0.35">
      <c r="A84" t="s">
        <v>335</v>
      </c>
      <c r="B84" s="1" t="s">
        <v>336</v>
      </c>
      <c r="C84" s="1" t="s">
        <v>337</v>
      </c>
      <c r="D84" s="1">
        <f t="shared" si="3"/>
        <v>2</v>
      </c>
      <c r="E84" t="s">
        <v>30</v>
      </c>
      <c r="F84" t="s">
        <v>19</v>
      </c>
      <c r="G84" t="s">
        <v>20</v>
      </c>
      <c r="H84" t="s">
        <v>39</v>
      </c>
      <c r="I84" t="s">
        <v>40</v>
      </c>
      <c r="J84" t="s">
        <v>23</v>
      </c>
      <c r="K84" t="s">
        <v>32</v>
      </c>
      <c r="L84" t="s">
        <v>55</v>
      </c>
      <c r="M84" t="s">
        <v>338</v>
      </c>
      <c r="N84">
        <v>1532.14</v>
      </c>
      <c r="O84">
        <v>5</v>
      </c>
      <c r="P84">
        <v>82.1</v>
      </c>
      <c r="Q84">
        <f t="shared" si="4"/>
        <v>2021</v>
      </c>
      <c r="R84" t="str">
        <f t="shared" si="5"/>
        <v>Jul</v>
      </c>
    </row>
    <row r="85" spans="1:18" x14ac:dyDescent="0.35">
      <c r="A85" t="s">
        <v>339</v>
      </c>
      <c r="B85" s="1" t="s">
        <v>340</v>
      </c>
      <c r="C85" s="1" t="s">
        <v>267</v>
      </c>
      <c r="D85" s="1">
        <f t="shared" si="3"/>
        <v>2</v>
      </c>
      <c r="E85" t="s">
        <v>60</v>
      </c>
      <c r="F85" t="s">
        <v>72</v>
      </c>
      <c r="G85" t="s">
        <v>20</v>
      </c>
      <c r="H85" t="s">
        <v>53</v>
      </c>
      <c r="I85" t="s">
        <v>54</v>
      </c>
      <c r="J85" t="s">
        <v>23</v>
      </c>
      <c r="K85" t="s">
        <v>24</v>
      </c>
      <c r="L85" t="s">
        <v>90</v>
      </c>
      <c r="M85" t="s">
        <v>341</v>
      </c>
      <c r="N85">
        <v>722.99</v>
      </c>
      <c r="O85">
        <v>1</v>
      </c>
      <c r="P85">
        <v>-159.29</v>
      </c>
      <c r="Q85">
        <f t="shared" si="4"/>
        <v>2021</v>
      </c>
      <c r="R85" t="str">
        <f t="shared" si="5"/>
        <v>Nov</v>
      </c>
    </row>
    <row r="86" spans="1:18" x14ac:dyDescent="0.35">
      <c r="A86" t="s">
        <v>342</v>
      </c>
      <c r="B86" s="1" t="s">
        <v>343</v>
      </c>
      <c r="C86" s="1" t="s">
        <v>59</v>
      </c>
      <c r="D86" s="1">
        <f t="shared" si="3"/>
        <v>4</v>
      </c>
      <c r="E86" t="s">
        <v>18</v>
      </c>
      <c r="F86" t="s">
        <v>31</v>
      </c>
      <c r="G86" t="s">
        <v>20</v>
      </c>
      <c r="H86" t="s">
        <v>85</v>
      </c>
      <c r="I86" t="s">
        <v>85</v>
      </c>
      <c r="J86" t="s">
        <v>23</v>
      </c>
      <c r="K86" t="s">
        <v>66</v>
      </c>
      <c r="L86" t="s">
        <v>67</v>
      </c>
      <c r="M86" t="s">
        <v>344</v>
      </c>
      <c r="N86">
        <v>1938.77</v>
      </c>
      <c r="O86">
        <v>5</v>
      </c>
      <c r="P86">
        <v>216.62</v>
      </c>
      <c r="Q86">
        <f t="shared" si="4"/>
        <v>2021</v>
      </c>
      <c r="R86" t="str">
        <f t="shared" si="5"/>
        <v>Nov</v>
      </c>
    </row>
    <row r="87" spans="1:18" x14ac:dyDescent="0.35">
      <c r="A87" t="s">
        <v>345</v>
      </c>
      <c r="B87" s="1" t="s">
        <v>346</v>
      </c>
      <c r="C87" s="1" t="s">
        <v>347</v>
      </c>
      <c r="D87" s="1">
        <f t="shared" si="3"/>
        <v>1</v>
      </c>
      <c r="E87" t="s">
        <v>115</v>
      </c>
      <c r="F87" t="s">
        <v>31</v>
      </c>
      <c r="G87" t="s">
        <v>20</v>
      </c>
      <c r="H87" t="s">
        <v>39</v>
      </c>
      <c r="I87" t="s">
        <v>40</v>
      </c>
      <c r="J87" t="s">
        <v>79</v>
      </c>
      <c r="K87" t="s">
        <v>66</v>
      </c>
      <c r="L87" t="s">
        <v>67</v>
      </c>
      <c r="M87" t="s">
        <v>348</v>
      </c>
      <c r="N87">
        <v>585.79</v>
      </c>
      <c r="O87">
        <v>1</v>
      </c>
      <c r="P87">
        <v>312.76</v>
      </c>
      <c r="Q87">
        <f t="shared" si="4"/>
        <v>2021</v>
      </c>
      <c r="R87" t="str">
        <f t="shared" si="5"/>
        <v>Mar</v>
      </c>
    </row>
    <row r="88" spans="1:18" x14ac:dyDescent="0.35">
      <c r="A88" t="s">
        <v>349</v>
      </c>
      <c r="B88" s="1" t="s">
        <v>222</v>
      </c>
      <c r="C88" s="1" t="s">
        <v>350</v>
      </c>
      <c r="D88" s="1">
        <f t="shared" si="3"/>
        <v>1</v>
      </c>
      <c r="E88" t="s">
        <v>115</v>
      </c>
      <c r="F88" t="s">
        <v>19</v>
      </c>
      <c r="G88" t="s">
        <v>20</v>
      </c>
      <c r="H88" t="s">
        <v>47</v>
      </c>
      <c r="I88" t="s">
        <v>48</v>
      </c>
      <c r="J88" t="s">
        <v>79</v>
      </c>
      <c r="K88" t="s">
        <v>32</v>
      </c>
      <c r="L88" t="s">
        <v>33</v>
      </c>
      <c r="M88" t="s">
        <v>351</v>
      </c>
      <c r="N88">
        <v>1315.91</v>
      </c>
      <c r="O88">
        <v>5</v>
      </c>
      <c r="P88">
        <v>-56.52</v>
      </c>
      <c r="Q88">
        <f t="shared" si="4"/>
        <v>2021</v>
      </c>
      <c r="R88" t="str">
        <f t="shared" si="5"/>
        <v>Sep</v>
      </c>
    </row>
    <row r="89" spans="1:18" x14ac:dyDescent="0.35">
      <c r="A89" t="s">
        <v>352</v>
      </c>
      <c r="B89" s="1" t="s">
        <v>353</v>
      </c>
      <c r="C89" s="1" t="s">
        <v>97</v>
      </c>
      <c r="D89" s="1">
        <f t="shared" si="3"/>
        <v>3</v>
      </c>
      <c r="E89" t="s">
        <v>18</v>
      </c>
      <c r="F89" t="s">
        <v>31</v>
      </c>
      <c r="G89" t="s">
        <v>20</v>
      </c>
      <c r="H89" t="s">
        <v>39</v>
      </c>
      <c r="I89" t="s">
        <v>40</v>
      </c>
      <c r="J89" t="s">
        <v>73</v>
      </c>
      <c r="K89" t="s">
        <v>32</v>
      </c>
      <c r="L89" t="s">
        <v>61</v>
      </c>
      <c r="M89" t="s">
        <v>354</v>
      </c>
      <c r="N89">
        <v>1470.89</v>
      </c>
      <c r="O89">
        <v>9</v>
      </c>
      <c r="P89">
        <v>263.82</v>
      </c>
      <c r="Q89">
        <f t="shared" si="4"/>
        <v>2021</v>
      </c>
      <c r="R89" t="str">
        <f t="shared" si="5"/>
        <v>May</v>
      </c>
    </row>
    <row r="90" spans="1:18" x14ac:dyDescent="0.35">
      <c r="A90" t="s">
        <v>355</v>
      </c>
      <c r="B90" s="1" t="s">
        <v>356</v>
      </c>
      <c r="C90" s="1" t="s">
        <v>176</v>
      </c>
      <c r="D90" s="1">
        <f t="shared" si="3"/>
        <v>4</v>
      </c>
      <c r="E90" t="s">
        <v>30</v>
      </c>
      <c r="F90" t="s">
        <v>72</v>
      </c>
      <c r="G90" t="s">
        <v>20</v>
      </c>
      <c r="H90" t="s">
        <v>47</v>
      </c>
      <c r="I90" t="s">
        <v>48</v>
      </c>
      <c r="J90" t="s">
        <v>23</v>
      </c>
      <c r="K90" t="s">
        <v>66</v>
      </c>
      <c r="L90" t="s">
        <v>67</v>
      </c>
      <c r="M90" t="s">
        <v>357</v>
      </c>
      <c r="N90">
        <v>769.78</v>
      </c>
      <c r="O90">
        <v>7</v>
      </c>
      <c r="P90">
        <v>-96.6</v>
      </c>
      <c r="Q90">
        <f t="shared" si="4"/>
        <v>2021</v>
      </c>
      <c r="R90" t="str">
        <f t="shared" si="5"/>
        <v>Mar</v>
      </c>
    </row>
    <row r="91" spans="1:18" x14ac:dyDescent="0.35">
      <c r="A91" t="s">
        <v>358</v>
      </c>
      <c r="B91" s="1" t="s">
        <v>122</v>
      </c>
      <c r="C91" s="1" t="s">
        <v>359</v>
      </c>
      <c r="D91" s="1">
        <f t="shared" si="3"/>
        <v>4</v>
      </c>
      <c r="E91" t="s">
        <v>18</v>
      </c>
      <c r="F91" t="s">
        <v>31</v>
      </c>
      <c r="G91" t="s">
        <v>20</v>
      </c>
      <c r="H91" t="s">
        <v>39</v>
      </c>
      <c r="I91" t="s">
        <v>40</v>
      </c>
      <c r="J91" t="s">
        <v>23</v>
      </c>
      <c r="K91" t="s">
        <v>66</v>
      </c>
      <c r="L91" t="s">
        <v>74</v>
      </c>
      <c r="M91" t="s">
        <v>360</v>
      </c>
      <c r="N91">
        <v>1071.43</v>
      </c>
      <c r="O91">
        <v>8</v>
      </c>
      <c r="P91">
        <v>49.75</v>
      </c>
      <c r="Q91">
        <f t="shared" si="4"/>
        <v>2021</v>
      </c>
      <c r="R91" t="str">
        <f t="shared" si="5"/>
        <v>May</v>
      </c>
    </row>
    <row r="92" spans="1:18" x14ac:dyDescent="0.35">
      <c r="A92" t="s">
        <v>361</v>
      </c>
      <c r="B92" s="1" t="s">
        <v>362</v>
      </c>
      <c r="C92" s="1" t="s">
        <v>356</v>
      </c>
      <c r="D92" s="1">
        <f t="shared" si="3"/>
        <v>5</v>
      </c>
      <c r="E92" t="s">
        <v>38</v>
      </c>
      <c r="F92" t="s">
        <v>31</v>
      </c>
      <c r="G92" t="s">
        <v>20</v>
      </c>
      <c r="H92" t="s">
        <v>53</v>
      </c>
      <c r="I92" t="s">
        <v>54</v>
      </c>
      <c r="J92" t="s">
        <v>73</v>
      </c>
      <c r="K92" t="s">
        <v>24</v>
      </c>
      <c r="L92" t="s">
        <v>90</v>
      </c>
      <c r="M92" t="s">
        <v>363</v>
      </c>
      <c r="N92">
        <v>289.13</v>
      </c>
      <c r="O92">
        <v>4</v>
      </c>
      <c r="P92">
        <v>441.23</v>
      </c>
      <c r="Q92">
        <f t="shared" si="4"/>
        <v>2021</v>
      </c>
      <c r="R92" t="str">
        <f t="shared" si="5"/>
        <v>Mar</v>
      </c>
    </row>
    <row r="93" spans="1:18" x14ac:dyDescent="0.35">
      <c r="A93" t="s">
        <v>364</v>
      </c>
      <c r="B93" s="1" t="s">
        <v>365</v>
      </c>
      <c r="C93" s="1" t="s">
        <v>28</v>
      </c>
      <c r="D93" s="1">
        <f t="shared" si="3"/>
        <v>2</v>
      </c>
      <c r="E93" t="s">
        <v>60</v>
      </c>
      <c r="F93" t="s">
        <v>72</v>
      </c>
      <c r="G93" t="s">
        <v>20</v>
      </c>
      <c r="H93" t="s">
        <v>21</v>
      </c>
      <c r="I93" t="s">
        <v>22</v>
      </c>
      <c r="J93" t="s">
        <v>73</v>
      </c>
      <c r="K93" t="s">
        <v>66</v>
      </c>
      <c r="L93" t="s">
        <v>80</v>
      </c>
      <c r="M93" t="s">
        <v>366</v>
      </c>
      <c r="N93">
        <v>920.74</v>
      </c>
      <c r="O93">
        <v>7</v>
      </c>
      <c r="P93">
        <v>592.20000000000005</v>
      </c>
      <c r="Q93">
        <f t="shared" si="4"/>
        <v>2021</v>
      </c>
      <c r="R93" t="str">
        <f t="shared" si="5"/>
        <v>Apr</v>
      </c>
    </row>
    <row r="94" spans="1:18" x14ac:dyDescent="0.35">
      <c r="A94" t="s">
        <v>367</v>
      </c>
      <c r="B94" s="1" t="s">
        <v>368</v>
      </c>
      <c r="C94" s="1" t="s">
        <v>369</v>
      </c>
      <c r="D94" s="1">
        <f t="shared" si="3"/>
        <v>5</v>
      </c>
      <c r="E94" t="s">
        <v>30</v>
      </c>
      <c r="F94" t="s">
        <v>31</v>
      </c>
      <c r="G94" t="s">
        <v>20</v>
      </c>
      <c r="H94" t="s">
        <v>47</v>
      </c>
      <c r="I94" t="s">
        <v>48</v>
      </c>
      <c r="J94" t="s">
        <v>41</v>
      </c>
      <c r="K94" t="s">
        <v>66</v>
      </c>
      <c r="L94" t="s">
        <v>74</v>
      </c>
      <c r="M94" t="s">
        <v>370</v>
      </c>
      <c r="N94">
        <v>351.65</v>
      </c>
      <c r="O94">
        <v>7</v>
      </c>
      <c r="P94">
        <v>126.92</v>
      </c>
      <c r="Q94">
        <f t="shared" si="4"/>
        <v>2021</v>
      </c>
      <c r="R94" t="str">
        <f t="shared" si="5"/>
        <v>Jun</v>
      </c>
    </row>
    <row r="95" spans="1:18" x14ac:dyDescent="0.35">
      <c r="A95" t="s">
        <v>371</v>
      </c>
      <c r="B95" s="1" t="s">
        <v>372</v>
      </c>
      <c r="C95" s="1" t="s">
        <v>101</v>
      </c>
      <c r="D95" s="1">
        <f t="shared" si="3"/>
        <v>1</v>
      </c>
      <c r="E95" t="s">
        <v>30</v>
      </c>
      <c r="F95" t="s">
        <v>31</v>
      </c>
      <c r="G95" t="s">
        <v>20</v>
      </c>
      <c r="H95" t="s">
        <v>53</v>
      </c>
      <c r="I95" t="s">
        <v>54</v>
      </c>
      <c r="J95" t="s">
        <v>73</v>
      </c>
      <c r="K95" t="s">
        <v>66</v>
      </c>
      <c r="L95" t="s">
        <v>80</v>
      </c>
      <c r="M95" t="s">
        <v>161</v>
      </c>
      <c r="N95">
        <v>862.18</v>
      </c>
      <c r="O95">
        <v>4</v>
      </c>
      <c r="P95">
        <v>649.64</v>
      </c>
      <c r="Q95">
        <f t="shared" si="4"/>
        <v>2021</v>
      </c>
      <c r="R95" t="str">
        <f t="shared" si="5"/>
        <v>Apr</v>
      </c>
    </row>
    <row r="96" spans="1:18" x14ac:dyDescent="0.35">
      <c r="A96" t="s">
        <v>373</v>
      </c>
      <c r="B96" s="1" t="s">
        <v>154</v>
      </c>
      <c r="C96" s="1" t="s">
        <v>374</v>
      </c>
      <c r="D96" s="1">
        <f t="shared" si="3"/>
        <v>2</v>
      </c>
      <c r="E96" t="s">
        <v>18</v>
      </c>
      <c r="F96" t="s">
        <v>31</v>
      </c>
      <c r="G96" t="s">
        <v>20</v>
      </c>
      <c r="H96" t="s">
        <v>39</v>
      </c>
      <c r="I96" t="s">
        <v>40</v>
      </c>
      <c r="J96" t="s">
        <v>79</v>
      </c>
      <c r="K96" t="s">
        <v>66</v>
      </c>
      <c r="L96" t="s">
        <v>80</v>
      </c>
      <c r="M96" t="s">
        <v>375</v>
      </c>
      <c r="N96">
        <v>1540.19</v>
      </c>
      <c r="O96">
        <v>3</v>
      </c>
      <c r="P96">
        <v>-98.72</v>
      </c>
      <c r="Q96">
        <f t="shared" si="4"/>
        <v>2021</v>
      </c>
      <c r="R96" t="str">
        <f t="shared" si="5"/>
        <v>Dec</v>
      </c>
    </row>
    <row r="97" spans="1:18" x14ac:dyDescent="0.35">
      <c r="A97" t="s">
        <v>376</v>
      </c>
      <c r="B97" s="1" t="s">
        <v>171</v>
      </c>
      <c r="C97" s="1" t="s">
        <v>206</v>
      </c>
      <c r="D97" s="1">
        <f t="shared" si="3"/>
        <v>3</v>
      </c>
      <c r="E97" t="s">
        <v>60</v>
      </c>
      <c r="F97" t="s">
        <v>72</v>
      </c>
      <c r="G97" t="s">
        <v>20</v>
      </c>
      <c r="H97" t="s">
        <v>53</v>
      </c>
      <c r="I97" t="s">
        <v>54</v>
      </c>
      <c r="J97" t="s">
        <v>41</v>
      </c>
      <c r="K97" t="s">
        <v>24</v>
      </c>
      <c r="L97" t="s">
        <v>42</v>
      </c>
      <c r="M97" t="s">
        <v>377</v>
      </c>
      <c r="N97">
        <v>284.54000000000002</v>
      </c>
      <c r="O97">
        <v>10</v>
      </c>
      <c r="P97">
        <v>343.68</v>
      </c>
      <c r="Q97">
        <f t="shared" si="4"/>
        <v>2021</v>
      </c>
      <c r="R97" t="str">
        <f t="shared" si="5"/>
        <v>Nov</v>
      </c>
    </row>
    <row r="98" spans="1:18" x14ac:dyDescent="0.35">
      <c r="A98" t="s">
        <v>378</v>
      </c>
      <c r="B98" s="1" t="s">
        <v>279</v>
      </c>
      <c r="C98" s="1" t="s">
        <v>379</v>
      </c>
      <c r="D98" s="1">
        <f t="shared" si="3"/>
        <v>1</v>
      </c>
      <c r="E98" t="s">
        <v>60</v>
      </c>
      <c r="F98" t="s">
        <v>72</v>
      </c>
      <c r="G98" t="s">
        <v>20</v>
      </c>
      <c r="H98" t="s">
        <v>39</v>
      </c>
      <c r="I98" t="s">
        <v>40</v>
      </c>
      <c r="J98" t="s">
        <v>73</v>
      </c>
      <c r="K98" t="s">
        <v>66</v>
      </c>
      <c r="L98" t="s">
        <v>67</v>
      </c>
      <c r="M98" t="s">
        <v>380</v>
      </c>
      <c r="N98">
        <v>945.07</v>
      </c>
      <c r="O98">
        <v>3</v>
      </c>
      <c r="P98">
        <v>521.78</v>
      </c>
      <c r="Q98">
        <f t="shared" si="4"/>
        <v>2021</v>
      </c>
      <c r="R98" t="str">
        <f t="shared" si="5"/>
        <v>Apr</v>
      </c>
    </row>
    <row r="99" spans="1:18" x14ac:dyDescent="0.35">
      <c r="A99" t="s">
        <v>381</v>
      </c>
      <c r="B99" s="1" t="s">
        <v>171</v>
      </c>
      <c r="C99" s="1" t="s">
        <v>214</v>
      </c>
      <c r="D99" s="1">
        <f t="shared" si="3"/>
        <v>1</v>
      </c>
      <c r="E99" t="s">
        <v>115</v>
      </c>
      <c r="F99" t="s">
        <v>72</v>
      </c>
      <c r="G99" t="s">
        <v>20</v>
      </c>
      <c r="H99" t="s">
        <v>39</v>
      </c>
      <c r="I99" t="s">
        <v>40</v>
      </c>
      <c r="J99" t="s">
        <v>79</v>
      </c>
      <c r="K99" t="s">
        <v>32</v>
      </c>
      <c r="L99" t="s">
        <v>61</v>
      </c>
      <c r="M99" t="s">
        <v>382</v>
      </c>
      <c r="N99">
        <v>935.33</v>
      </c>
      <c r="O99">
        <v>3</v>
      </c>
      <c r="P99">
        <v>-14.78</v>
      </c>
      <c r="Q99">
        <f t="shared" si="4"/>
        <v>2021</v>
      </c>
      <c r="R99" t="str">
        <f t="shared" si="5"/>
        <v>Nov</v>
      </c>
    </row>
    <row r="100" spans="1:18" x14ac:dyDescent="0.35">
      <c r="A100" t="s">
        <v>383</v>
      </c>
      <c r="B100" s="1" t="s">
        <v>384</v>
      </c>
      <c r="C100" s="1" t="s">
        <v>256</v>
      </c>
      <c r="D100" s="1">
        <f t="shared" si="3"/>
        <v>5</v>
      </c>
      <c r="E100" t="s">
        <v>60</v>
      </c>
      <c r="F100" t="s">
        <v>31</v>
      </c>
      <c r="G100" t="s">
        <v>20</v>
      </c>
      <c r="H100" t="s">
        <v>47</v>
      </c>
      <c r="I100" t="s">
        <v>48</v>
      </c>
      <c r="J100" t="s">
        <v>23</v>
      </c>
      <c r="K100" t="s">
        <v>66</v>
      </c>
      <c r="L100" t="s">
        <v>80</v>
      </c>
      <c r="M100" t="s">
        <v>327</v>
      </c>
      <c r="N100">
        <v>1091.67</v>
      </c>
      <c r="O100">
        <v>7</v>
      </c>
      <c r="P100">
        <v>-57.37</v>
      </c>
      <c r="Q100">
        <f t="shared" si="4"/>
        <v>2021</v>
      </c>
      <c r="R100" t="str">
        <f t="shared" si="5"/>
        <v>Jul</v>
      </c>
    </row>
    <row r="101" spans="1:18" x14ac:dyDescent="0.35">
      <c r="A101" t="s">
        <v>385</v>
      </c>
      <c r="B101" s="1" t="s">
        <v>386</v>
      </c>
      <c r="C101" s="1" t="s">
        <v>387</v>
      </c>
      <c r="D101" s="1">
        <f t="shared" si="3"/>
        <v>2</v>
      </c>
      <c r="E101" t="s">
        <v>60</v>
      </c>
      <c r="F101" t="s">
        <v>72</v>
      </c>
      <c r="G101" t="s">
        <v>20</v>
      </c>
      <c r="H101" t="s">
        <v>53</v>
      </c>
      <c r="I101" t="s">
        <v>54</v>
      </c>
      <c r="J101" t="s">
        <v>23</v>
      </c>
      <c r="K101" t="s">
        <v>24</v>
      </c>
      <c r="L101" t="s">
        <v>90</v>
      </c>
      <c r="M101" t="s">
        <v>388</v>
      </c>
      <c r="N101">
        <v>1161.8599999999999</v>
      </c>
      <c r="O101">
        <v>3</v>
      </c>
      <c r="P101">
        <v>-180.59</v>
      </c>
      <c r="Q101">
        <f t="shared" si="4"/>
        <v>2021</v>
      </c>
      <c r="R101" t="str">
        <f t="shared" si="5"/>
        <v>Jul</v>
      </c>
    </row>
    <row r="102" spans="1:18" x14ac:dyDescent="0.35">
      <c r="A102" t="s">
        <v>389</v>
      </c>
      <c r="B102" s="1" t="s">
        <v>150</v>
      </c>
      <c r="C102" s="1" t="s">
        <v>271</v>
      </c>
      <c r="D102" s="1">
        <f t="shared" si="3"/>
        <v>3</v>
      </c>
      <c r="E102" t="s">
        <v>38</v>
      </c>
      <c r="F102" t="s">
        <v>72</v>
      </c>
      <c r="G102" t="s">
        <v>20</v>
      </c>
      <c r="H102" t="s">
        <v>21</v>
      </c>
      <c r="I102" t="s">
        <v>22</v>
      </c>
      <c r="J102" t="s">
        <v>23</v>
      </c>
      <c r="K102" t="s">
        <v>32</v>
      </c>
      <c r="L102" t="s">
        <v>33</v>
      </c>
      <c r="M102" t="s">
        <v>390</v>
      </c>
      <c r="N102">
        <v>1590.1</v>
      </c>
      <c r="O102">
        <v>1</v>
      </c>
      <c r="P102">
        <v>-20.93</v>
      </c>
      <c r="Q102">
        <f t="shared" si="4"/>
        <v>2021</v>
      </c>
      <c r="R102" t="str">
        <f t="shared" si="5"/>
        <v>Jan</v>
      </c>
    </row>
    <row r="103" spans="1:18" x14ac:dyDescent="0.35">
      <c r="A103" t="s">
        <v>391</v>
      </c>
      <c r="B103" s="1" t="s">
        <v>392</v>
      </c>
      <c r="C103" s="1" t="s">
        <v>393</v>
      </c>
      <c r="D103" s="1">
        <f t="shared" si="3"/>
        <v>4</v>
      </c>
      <c r="E103" t="s">
        <v>18</v>
      </c>
      <c r="F103" t="s">
        <v>19</v>
      </c>
      <c r="G103" t="s">
        <v>20</v>
      </c>
      <c r="H103" t="s">
        <v>85</v>
      </c>
      <c r="I103" t="s">
        <v>85</v>
      </c>
      <c r="J103" t="s">
        <v>23</v>
      </c>
      <c r="K103" t="s">
        <v>24</v>
      </c>
      <c r="L103" t="s">
        <v>90</v>
      </c>
      <c r="M103" t="s">
        <v>394</v>
      </c>
      <c r="N103">
        <v>1700.93</v>
      </c>
      <c r="O103">
        <v>3</v>
      </c>
      <c r="P103">
        <v>-32.83</v>
      </c>
      <c r="Q103">
        <f t="shared" si="4"/>
        <v>2021</v>
      </c>
      <c r="R103" t="str">
        <f t="shared" si="5"/>
        <v>Jun</v>
      </c>
    </row>
    <row r="104" spans="1:18" x14ac:dyDescent="0.35">
      <c r="A104" t="s">
        <v>395</v>
      </c>
      <c r="B104" s="1" t="s">
        <v>396</v>
      </c>
      <c r="C104" s="1" t="s">
        <v>318</v>
      </c>
      <c r="D104" s="1">
        <f t="shared" si="3"/>
        <v>4</v>
      </c>
      <c r="E104" t="s">
        <v>30</v>
      </c>
      <c r="F104" t="s">
        <v>19</v>
      </c>
      <c r="G104" t="s">
        <v>20</v>
      </c>
      <c r="H104" t="s">
        <v>21</v>
      </c>
      <c r="I104" t="s">
        <v>22</v>
      </c>
      <c r="J104" t="s">
        <v>79</v>
      </c>
      <c r="K104" t="s">
        <v>32</v>
      </c>
      <c r="L104" t="s">
        <v>33</v>
      </c>
      <c r="M104" t="s">
        <v>397</v>
      </c>
      <c r="N104">
        <v>1010.69</v>
      </c>
      <c r="O104">
        <v>8</v>
      </c>
      <c r="P104">
        <v>440.37</v>
      </c>
      <c r="Q104">
        <f t="shared" si="4"/>
        <v>2021</v>
      </c>
      <c r="R104" t="str">
        <f t="shared" si="5"/>
        <v>Sep</v>
      </c>
    </row>
    <row r="105" spans="1:18" x14ac:dyDescent="0.35">
      <c r="A105" t="s">
        <v>398</v>
      </c>
      <c r="B105" s="1" t="s">
        <v>379</v>
      </c>
      <c r="C105" s="1" t="s">
        <v>399</v>
      </c>
      <c r="D105" s="1">
        <f t="shared" si="3"/>
        <v>5</v>
      </c>
      <c r="E105" t="s">
        <v>38</v>
      </c>
      <c r="F105" t="s">
        <v>19</v>
      </c>
      <c r="G105" t="s">
        <v>20</v>
      </c>
      <c r="H105" t="s">
        <v>47</v>
      </c>
      <c r="I105" t="s">
        <v>48</v>
      </c>
      <c r="J105" t="s">
        <v>23</v>
      </c>
      <c r="K105" t="s">
        <v>66</v>
      </c>
      <c r="L105" t="s">
        <v>80</v>
      </c>
      <c r="M105" t="s">
        <v>400</v>
      </c>
      <c r="N105">
        <v>1925.2</v>
      </c>
      <c r="O105">
        <v>5</v>
      </c>
      <c r="P105">
        <v>698.95</v>
      </c>
      <c r="Q105">
        <f t="shared" si="4"/>
        <v>2021</v>
      </c>
      <c r="R105" t="str">
        <f t="shared" si="5"/>
        <v>Apr</v>
      </c>
    </row>
    <row r="106" spans="1:18" x14ac:dyDescent="0.35">
      <c r="A106" t="s">
        <v>401</v>
      </c>
      <c r="B106" s="1" t="s">
        <v>402</v>
      </c>
      <c r="C106" s="1" t="s">
        <v>403</v>
      </c>
      <c r="D106" s="1">
        <f t="shared" si="3"/>
        <v>2</v>
      </c>
      <c r="E106" t="s">
        <v>30</v>
      </c>
      <c r="F106" t="s">
        <v>72</v>
      </c>
      <c r="G106" t="s">
        <v>20</v>
      </c>
      <c r="H106" t="s">
        <v>21</v>
      </c>
      <c r="I106" t="s">
        <v>22</v>
      </c>
      <c r="J106" t="s">
        <v>23</v>
      </c>
      <c r="K106" t="s">
        <v>32</v>
      </c>
      <c r="L106" t="s">
        <v>33</v>
      </c>
      <c r="M106" t="s">
        <v>404</v>
      </c>
      <c r="N106">
        <v>434.71</v>
      </c>
      <c r="O106">
        <v>1</v>
      </c>
      <c r="P106">
        <v>-141.68</v>
      </c>
      <c r="Q106">
        <f t="shared" si="4"/>
        <v>2021</v>
      </c>
      <c r="R106" t="str">
        <f t="shared" si="5"/>
        <v>Mar</v>
      </c>
    </row>
    <row r="107" spans="1:18" x14ac:dyDescent="0.35">
      <c r="A107" t="s">
        <v>405</v>
      </c>
      <c r="B107" s="1" t="s">
        <v>406</v>
      </c>
      <c r="C107" s="1" t="s">
        <v>372</v>
      </c>
      <c r="D107" s="1">
        <f t="shared" si="3"/>
        <v>5</v>
      </c>
      <c r="E107" t="s">
        <v>18</v>
      </c>
      <c r="F107" t="s">
        <v>19</v>
      </c>
      <c r="G107" t="s">
        <v>20</v>
      </c>
      <c r="H107" t="s">
        <v>39</v>
      </c>
      <c r="I107" t="s">
        <v>40</v>
      </c>
      <c r="J107" t="s">
        <v>41</v>
      </c>
      <c r="K107" t="s">
        <v>24</v>
      </c>
      <c r="L107" t="s">
        <v>25</v>
      </c>
      <c r="M107" t="s">
        <v>407</v>
      </c>
      <c r="N107">
        <v>1786.54</v>
      </c>
      <c r="O107">
        <v>7</v>
      </c>
      <c r="P107">
        <v>366.56</v>
      </c>
      <c r="Q107">
        <f t="shared" si="4"/>
        <v>2021</v>
      </c>
      <c r="R107" t="str">
        <f t="shared" si="5"/>
        <v>Mar</v>
      </c>
    </row>
    <row r="108" spans="1:18" x14ac:dyDescent="0.35">
      <c r="A108" t="s">
        <v>408</v>
      </c>
      <c r="B108" s="1" t="s">
        <v>356</v>
      </c>
      <c r="C108" s="1" t="s">
        <v>175</v>
      </c>
      <c r="D108" s="1">
        <f t="shared" si="3"/>
        <v>1</v>
      </c>
      <c r="E108" t="s">
        <v>60</v>
      </c>
      <c r="F108" t="s">
        <v>19</v>
      </c>
      <c r="G108" t="s">
        <v>20</v>
      </c>
      <c r="H108" t="s">
        <v>21</v>
      </c>
      <c r="I108" t="s">
        <v>22</v>
      </c>
      <c r="J108" t="s">
        <v>79</v>
      </c>
      <c r="K108" t="s">
        <v>24</v>
      </c>
      <c r="L108" t="s">
        <v>42</v>
      </c>
      <c r="M108" t="s">
        <v>409</v>
      </c>
      <c r="N108">
        <v>1449.04</v>
      </c>
      <c r="O108">
        <v>5</v>
      </c>
      <c r="P108">
        <v>-18.21</v>
      </c>
      <c r="Q108">
        <f t="shared" si="4"/>
        <v>2021</v>
      </c>
      <c r="R108" t="str">
        <f t="shared" si="5"/>
        <v>Mar</v>
      </c>
    </row>
    <row r="109" spans="1:18" x14ac:dyDescent="0.35">
      <c r="A109" t="s">
        <v>410</v>
      </c>
      <c r="B109" s="1" t="s">
        <v>318</v>
      </c>
      <c r="C109" s="1" t="s">
        <v>411</v>
      </c>
      <c r="D109" s="1">
        <f t="shared" si="3"/>
        <v>1</v>
      </c>
      <c r="E109" t="s">
        <v>38</v>
      </c>
      <c r="F109" t="s">
        <v>31</v>
      </c>
      <c r="G109" t="s">
        <v>20</v>
      </c>
      <c r="H109" t="s">
        <v>85</v>
      </c>
      <c r="I109" t="s">
        <v>85</v>
      </c>
      <c r="J109" t="s">
        <v>73</v>
      </c>
      <c r="K109" t="s">
        <v>32</v>
      </c>
      <c r="L109" t="s">
        <v>61</v>
      </c>
      <c r="M109" t="s">
        <v>412</v>
      </c>
      <c r="N109">
        <v>1365.54</v>
      </c>
      <c r="O109">
        <v>9</v>
      </c>
      <c r="P109">
        <v>30.09</v>
      </c>
      <c r="Q109">
        <f t="shared" si="4"/>
        <v>2021</v>
      </c>
      <c r="R109" t="str">
        <f t="shared" si="5"/>
        <v>Sep</v>
      </c>
    </row>
    <row r="110" spans="1:18" x14ac:dyDescent="0.35">
      <c r="A110" t="s">
        <v>413</v>
      </c>
      <c r="B110" s="1" t="s">
        <v>414</v>
      </c>
      <c r="C110" s="1" t="s">
        <v>415</v>
      </c>
      <c r="D110" s="1">
        <f t="shared" si="3"/>
        <v>2</v>
      </c>
      <c r="E110" t="s">
        <v>38</v>
      </c>
      <c r="F110" t="s">
        <v>31</v>
      </c>
      <c r="G110" t="s">
        <v>20</v>
      </c>
      <c r="H110" t="s">
        <v>47</v>
      </c>
      <c r="I110" t="s">
        <v>48</v>
      </c>
      <c r="J110" t="s">
        <v>41</v>
      </c>
      <c r="K110" t="s">
        <v>66</v>
      </c>
      <c r="L110" t="s">
        <v>67</v>
      </c>
      <c r="M110" t="s">
        <v>416</v>
      </c>
      <c r="N110">
        <v>1021.75</v>
      </c>
      <c r="O110">
        <v>2</v>
      </c>
      <c r="P110">
        <v>455.23</v>
      </c>
      <c r="Q110">
        <f t="shared" si="4"/>
        <v>2021</v>
      </c>
      <c r="R110" t="str">
        <f t="shared" si="5"/>
        <v>Oct</v>
      </c>
    </row>
    <row r="111" spans="1:18" x14ac:dyDescent="0.35">
      <c r="A111" t="s">
        <v>417</v>
      </c>
      <c r="B111" s="1" t="s">
        <v>418</v>
      </c>
      <c r="C111" s="1" t="s">
        <v>150</v>
      </c>
      <c r="D111" s="1">
        <f t="shared" si="3"/>
        <v>2</v>
      </c>
      <c r="E111" t="s">
        <v>30</v>
      </c>
      <c r="F111" t="s">
        <v>31</v>
      </c>
      <c r="G111" t="s">
        <v>20</v>
      </c>
      <c r="H111" t="s">
        <v>85</v>
      </c>
      <c r="I111" t="s">
        <v>85</v>
      </c>
      <c r="J111" t="s">
        <v>73</v>
      </c>
      <c r="K111" t="s">
        <v>24</v>
      </c>
      <c r="L111" t="s">
        <v>25</v>
      </c>
      <c r="M111" t="s">
        <v>407</v>
      </c>
      <c r="N111">
        <v>1295.43</v>
      </c>
      <c r="O111">
        <v>6</v>
      </c>
      <c r="P111">
        <v>-57.25</v>
      </c>
      <c r="Q111">
        <f t="shared" si="4"/>
        <v>2021</v>
      </c>
      <c r="R111" t="str">
        <f t="shared" si="5"/>
        <v>Jan</v>
      </c>
    </row>
    <row r="112" spans="1:18" x14ac:dyDescent="0.35">
      <c r="A112" t="s">
        <v>419</v>
      </c>
      <c r="B112" s="1" t="s">
        <v>420</v>
      </c>
      <c r="C112" s="1" t="s">
        <v>346</v>
      </c>
      <c r="D112" s="1">
        <f t="shared" si="3"/>
        <v>5</v>
      </c>
      <c r="E112" t="s">
        <v>18</v>
      </c>
      <c r="F112" t="s">
        <v>31</v>
      </c>
      <c r="G112" t="s">
        <v>20</v>
      </c>
      <c r="H112" t="s">
        <v>53</v>
      </c>
      <c r="I112" t="s">
        <v>54</v>
      </c>
      <c r="J112" t="s">
        <v>73</v>
      </c>
      <c r="K112" t="s">
        <v>32</v>
      </c>
      <c r="L112" t="s">
        <v>61</v>
      </c>
      <c r="M112" t="s">
        <v>304</v>
      </c>
      <c r="N112">
        <v>181.53</v>
      </c>
      <c r="O112">
        <v>10</v>
      </c>
      <c r="P112">
        <v>176.4</v>
      </c>
      <c r="Q112">
        <f t="shared" si="4"/>
        <v>2021</v>
      </c>
      <c r="R112" t="str">
        <f t="shared" si="5"/>
        <v>Mar</v>
      </c>
    </row>
    <row r="113" spans="1:18" x14ac:dyDescent="0.35">
      <c r="A113" t="s">
        <v>421</v>
      </c>
      <c r="B113" s="1" t="s">
        <v>422</v>
      </c>
      <c r="C113" s="1" t="s">
        <v>423</v>
      </c>
      <c r="D113" s="1">
        <f t="shared" si="3"/>
        <v>2</v>
      </c>
      <c r="E113" t="s">
        <v>30</v>
      </c>
      <c r="F113" t="s">
        <v>72</v>
      </c>
      <c r="G113" t="s">
        <v>20</v>
      </c>
      <c r="H113" t="s">
        <v>21</v>
      </c>
      <c r="I113" t="s">
        <v>22</v>
      </c>
      <c r="J113" t="s">
        <v>23</v>
      </c>
      <c r="K113" t="s">
        <v>66</v>
      </c>
      <c r="L113" t="s">
        <v>74</v>
      </c>
      <c r="M113" t="s">
        <v>193</v>
      </c>
      <c r="N113">
        <v>789.34</v>
      </c>
      <c r="O113">
        <v>7</v>
      </c>
      <c r="P113">
        <v>94.85</v>
      </c>
      <c r="Q113">
        <f t="shared" si="4"/>
        <v>2021</v>
      </c>
      <c r="R113" t="str">
        <f t="shared" si="5"/>
        <v>Jan</v>
      </c>
    </row>
    <row r="114" spans="1:18" x14ac:dyDescent="0.35">
      <c r="A114" t="s">
        <v>424</v>
      </c>
      <c r="B114" s="1" t="s">
        <v>425</v>
      </c>
      <c r="C114" s="1" t="s">
        <v>426</v>
      </c>
      <c r="D114" s="1">
        <f t="shared" si="3"/>
        <v>5</v>
      </c>
      <c r="E114" t="s">
        <v>60</v>
      </c>
      <c r="F114" t="s">
        <v>31</v>
      </c>
      <c r="G114" t="s">
        <v>20</v>
      </c>
      <c r="H114" t="s">
        <v>47</v>
      </c>
      <c r="I114" t="s">
        <v>48</v>
      </c>
      <c r="J114" t="s">
        <v>23</v>
      </c>
      <c r="K114" t="s">
        <v>66</v>
      </c>
      <c r="L114" t="s">
        <v>80</v>
      </c>
      <c r="M114" t="s">
        <v>427</v>
      </c>
      <c r="N114">
        <v>497.86</v>
      </c>
      <c r="O114">
        <v>5</v>
      </c>
      <c r="P114">
        <v>-35.869999999999997</v>
      </c>
      <c r="Q114">
        <f t="shared" si="4"/>
        <v>2021</v>
      </c>
      <c r="R114" t="str">
        <f t="shared" si="5"/>
        <v>Jul</v>
      </c>
    </row>
    <row r="115" spans="1:18" x14ac:dyDescent="0.35">
      <c r="A115" t="s">
        <v>428</v>
      </c>
      <c r="B115" s="1" t="s">
        <v>429</v>
      </c>
      <c r="C115" s="1" t="s">
        <v>160</v>
      </c>
      <c r="D115" s="1">
        <f t="shared" si="3"/>
        <v>3</v>
      </c>
      <c r="E115" t="s">
        <v>30</v>
      </c>
      <c r="F115" t="s">
        <v>72</v>
      </c>
      <c r="G115" t="s">
        <v>20</v>
      </c>
      <c r="H115" t="s">
        <v>47</v>
      </c>
      <c r="I115" t="s">
        <v>48</v>
      </c>
      <c r="J115" t="s">
        <v>41</v>
      </c>
      <c r="K115" t="s">
        <v>32</v>
      </c>
      <c r="L115" t="s">
        <v>33</v>
      </c>
      <c r="M115" t="s">
        <v>430</v>
      </c>
      <c r="N115">
        <v>1544.42</v>
      </c>
      <c r="O115">
        <v>7</v>
      </c>
      <c r="P115">
        <v>696.63</v>
      </c>
      <c r="Q115">
        <f t="shared" si="4"/>
        <v>2021</v>
      </c>
      <c r="R115" t="str">
        <f t="shared" si="5"/>
        <v>Jun</v>
      </c>
    </row>
    <row r="116" spans="1:18" x14ac:dyDescent="0.35">
      <c r="A116" t="s">
        <v>431</v>
      </c>
      <c r="B116" s="1" t="s">
        <v>406</v>
      </c>
      <c r="C116" s="1" t="s">
        <v>372</v>
      </c>
      <c r="D116" s="1">
        <f t="shared" si="3"/>
        <v>5</v>
      </c>
      <c r="E116" t="s">
        <v>38</v>
      </c>
      <c r="F116" t="s">
        <v>72</v>
      </c>
      <c r="G116" t="s">
        <v>20</v>
      </c>
      <c r="H116" t="s">
        <v>21</v>
      </c>
      <c r="I116" t="s">
        <v>22</v>
      </c>
      <c r="J116" t="s">
        <v>41</v>
      </c>
      <c r="K116" t="s">
        <v>32</v>
      </c>
      <c r="L116" t="s">
        <v>55</v>
      </c>
      <c r="M116" t="s">
        <v>432</v>
      </c>
      <c r="N116">
        <v>1773.93</v>
      </c>
      <c r="O116">
        <v>8</v>
      </c>
      <c r="P116">
        <v>442.85</v>
      </c>
      <c r="Q116">
        <f t="shared" si="4"/>
        <v>2021</v>
      </c>
      <c r="R116" t="str">
        <f t="shared" si="5"/>
        <v>Mar</v>
      </c>
    </row>
    <row r="117" spans="1:18" x14ac:dyDescent="0.35">
      <c r="A117" t="s">
        <v>433</v>
      </c>
      <c r="B117" s="1" t="s">
        <v>434</v>
      </c>
      <c r="C117" s="1" t="s">
        <v>435</v>
      </c>
      <c r="D117" s="1">
        <f t="shared" si="3"/>
        <v>4</v>
      </c>
      <c r="E117" t="s">
        <v>18</v>
      </c>
      <c r="F117" t="s">
        <v>31</v>
      </c>
      <c r="G117" t="s">
        <v>20</v>
      </c>
      <c r="H117" t="s">
        <v>85</v>
      </c>
      <c r="I117" t="s">
        <v>85</v>
      </c>
      <c r="J117" t="s">
        <v>41</v>
      </c>
      <c r="K117" t="s">
        <v>66</v>
      </c>
      <c r="L117" t="s">
        <v>80</v>
      </c>
      <c r="M117" t="s">
        <v>436</v>
      </c>
      <c r="N117">
        <v>647.65</v>
      </c>
      <c r="O117">
        <v>4</v>
      </c>
      <c r="P117">
        <v>2.0499999999999998</v>
      </c>
      <c r="Q117">
        <f t="shared" si="4"/>
        <v>2021</v>
      </c>
      <c r="R117" t="str">
        <f t="shared" si="5"/>
        <v>Aug</v>
      </c>
    </row>
    <row r="118" spans="1:18" x14ac:dyDescent="0.35">
      <c r="A118" t="s">
        <v>437</v>
      </c>
      <c r="B118" s="1" t="s">
        <v>438</v>
      </c>
      <c r="C118" s="1" t="s">
        <v>151</v>
      </c>
      <c r="D118" s="1">
        <f t="shared" si="3"/>
        <v>5</v>
      </c>
      <c r="E118" t="s">
        <v>38</v>
      </c>
      <c r="F118" t="s">
        <v>31</v>
      </c>
      <c r="G118" t="s">
        <v>20</v>
      </c>
      <c r="H118" t="s">
        <v>53</v>
      </c>
      <c r="I118" t="s">
        <v>54</v>
      </c>
      <c r="J118" t="s">
        <v>41</v>
      </c>
      <c r="K118" t="s">
        <v>66</v>
      </c>
      <c r="L118" t="s">
        <v>80</v>
      </c>
      <c r="M118" t="s">
        <v>439</v>
      </c>
      <c r="N118">
        <v>618.04</v>
      </c>
      <c r="O118">
        <v>8</v>
      </c>
      <c r="P118">
        <v>-80.569999999999993</v>
      </c>
      <c r="Q118">
        <f t="shared" si="4"/>
        <v>2021</v>
      </c>
      <c r="R118" t="str">
        <f t="shared" si="5"/>
        <v>Jan</v>
      </c>
    </row>
    <row r="119" spans="1:18" x14ac:dyDescent="0.35">
      <c r="A119" t="s">
        <v>440</v>
      </c>
      <c r="B119" s="1" t="s">
        <v>441</v>
      </c>
      <c r="C119" s="1" t="s">
        <v>418</v>
      </c>
      <c r="D119" s="1">
        <f t="shared" si="3"/>
        <v>5</v>
      </c>
      <c r="E119" t="s">
        <v>18</v>
      </c>
      <c r="F119" t="s">
        <v>31</v>
      </c>
      <c r="G119" t="s">
        <v>20</v>
      </c>
      <c r="H119" t="s">
        <v>47</v>
      </c>
      <c r="I119" t="s">
        <v>48</v>
      </c>
      <c r="J119" t="s">
        <v>73</v>
      </c>
      <c r="K119" t="s">
        <v>66</v>
      </c>
      <c r="L119" t="s">
        <v>67</v>
      </c>
      <c r="M119" t="s">
        <v>442</v>
      </c>
      <c r="N119">
        <v>291.3</v>
      </c>
      <c r="O119">
        <v>6</v>
      </c>
      <c r="P119">
        <v>639.14</v>
      </c>
      <c r="Q119">
        <f t="shared" si="4"/>
        <v>2021</v>
      </c>
      <c r="R119" t="str">
        <f t="shared" si="5"/>
        <v>Jan</v>
      </c>
    </row>
    <row r="120" spans="1:18" x14ac:dyDescent="0.35">
      <c r="A120" t="s">
        <v>443</v>
      </c>
      <c r="B120" s="1" t="s">
        <v>444</v>
      </c>
      <c r="C120" s="1" t="s">
        <v>372</v>
      </c>
      <c r="D120" s="1">
        <f t="shared" si="3"/>
        <v>2</v>
      </c>
      <c r="E120" t="s">
        <v>18</v>
      </c>
      <c r="F120" t="s">
        <v>72</v>
      </c>
      <c r="G120" t="s">
        <v>20</v>
      </c>
      <c r="H120" t="s">
        <v>53</v>
      </c>
      <c r="I120" t="s">
        <v>54</v>
      </c>
      <c r="J120" t="s">
        <v>73</v>
      </c>
      <c r="K120" t="s">
        <v>32</v>
      </c>
      <c r="L120" t="s">
        <v>33</v>
      </c>
      <c r="M120" t="s">
        <v>445</v>
      </c>
      <c r="N120">
        <v>200.62</v>
      </c>
      <c r="O120">
        <v>10</v>
      </c>
      <c r="P120">
        <v>573.04999999999995</v>
      </c>
      <c r="Q120">
        <f t="shared" si="4"/>
        <v>2021</v>
      </c>
      <c r="R120" t="str">
        <f t="shared" si="5"/>
        <v>Mar</v>
      </c>
    </row>
    <row r="121" spans="1:18" x14ac:dyDescent="0.35">
      <c r="A121" t="s">
        <v>446</v>
      </c>
      <c r="B121" s="1" t="s">
        <v>447</v>
      </c>
      <c r="C121" s="1" t="s">
        <v>448</v>
      </c>
      <c r="D121" s="1">
        <f t="shared" si="3"/>
        <v>3</v>
      </c>
      <c r="E121" t="s">
        <v>60</v>
      </c>
      <c r="F121" t="s">
        <v>31</v>
      </c>
      <c r="G121" t="s">
        <v>20</v>
      </c>
      <c r="H121" t="s">
        <v>21</v>
      </c>
      <c r="I121" t="s">
        <v>22</v>
      </c>
      <c r="J121" t="s">
        <v>23</v>
      </c>
      <c r="K121" t="s">
        <v>32</v>
      </c>
      <c r="L121" t="s">
        <v>61</v>
      </c>
      <c r="M121" t="s">
        <v>449</v>
      </c>
      <c r="N121">
        <v>1918.65</v>
      </c>
      <c r="O121">
        <v>6</v>
      </c>
      <c r="P121">
        <v>435.62</v>
      </c>
      <c r="Q121">
        <f t="shared" si="4"/>
        <v>2021</v>
      </c>
      <c r="R121" t="str">
        <f t="shared" si="5"/>
        <v>Dec</v>
      </c>
    </row>
    <row r="122" spans="1:18" x14ac:dyDescent="0.35">
      <c r="A122" t="s">
        <v>450</v>
      </c>
      <c r="B122" s="1" t="s">
        <v>411</v>
      </c>
      <c r="C122" s="1" t="s">
        <v>451</v>
      </c>
      <c r="D122" s="1">
        <f t="shared" si="3"/>
        <v>5</v>
      </c>
      <c r="E122" t="s">
        <v>18</v>
      </c>
      <c r="F122" t="s">
        <v>31</v>
      </c>
      <c r="G122" t="s">
        <v>20</v>
      </c>
      <c r="H122" t="s">
        <v>53</v>
      </c>
      <c r="I122" t="s">
        <v>54</v>
      </c>
      <c r="J122" t="s">
        <v>73</v>
      </c>
      <c r="K122" t="s">
        <v>66</v>
      </c>
      <c r="L122" t="s">
        <v>80</v>
      </c>
      <c r="M122" t="s">
        <v>81</v>
      </c>
      <c r="N122">
        <v>1691.16</v>
      </c>
      <c r="O122">
        <v>8</v>
      </c>
      <c r="P122">
        <v>165.11</v>
      </c>
      <c r="Q122">
        <f t="shared" si="4"/>
        <v>2021</v>
      </c>
      <c r="R122" t="str">
        <f t="shared" si="5"/>
        <v>Sep</v>
      </c>
    </row>
    <row r="123" spans="1:18" x14ac:dyDescent="0.35">
      <c r="A123" t="s">
        <v>452</v>
      </c>
      <c r="B123" s="1" t="s">
        <v>289</v>
      </c>
      <c r="C123" s="1" t="s">
        <v>453</v>
      </c>
      <c r="D123" s="1">
        <f t="shared" si="3"/>
        <v>1</v>
      </c>
      <c r="E123" t="s">
        <v>30</v>
      </c>
      <c r="F123" t="s">
        <v>31</v>
      </c>
      <c r="G123" t="s">
        <v>20</v>
      </c>
      <c r="H123" t="s">
        <v>47</v>
      </c>
      <c r="I123" t="s">
        <v>48</v>
      </c>
      <c r="J123" t="s">
        <v>73</v>
      </c>
      <c r="K123" t="s">
        <v>66</v>
      </c>
      <c r="L123" t="s">
        <v>74</v>
      </c>
      <c r="M123" t="s">
        <v>454</v>
      </c>
      <c r="N123">
        <v>1321.62</v>
      </c>
      <c r="O123">
        <v>4</v>
      </c>
      <c r="P123">
        <v>-97.34</v>
      </c>
      <c r="Q123">
        <f t="shared" si="4"/>
        <v>2021</v>
      </c>
      <c r="R123" t="str">
        <f t="shared" si="5"/>
        <v>Feb</v>
      </c>
    </row>
    <row r="124" spans="1:18" x14ac:dyDescent="0.35">
      <c r="A124" t="s">
        <v>455</v>
      </c>
      <c r="B124" s="1" t="s">
        <v>456</v>
      </c>
      <c r="C124" s="1" t="s">
        <v>457</v>
      </c>
      <c r="D124" s="1">
        <f t="shared" si="3"/>
        <v>4</v>
      </c>
      <c r="E124" t="s">
        <v>18</v>
      </c>
      <c r="F124" t="s">
        <v>19</v>
      </c>
      <c r="G124" t="s">
        <v>20</v>
      </c>
      <c r="H124" t="s">
        <v>21</v>
      </c>
      <c r="I124" t="s">
        <v>22</v>
      </c>
      <c r="J124" t="s">
        <v>79</v>
      </c>
      <c r="K124" t="s">
        <v>32</v>
      </c>
      <c r="L124" t="s">
        <v>55</v>
      </c>
      <c r="M124" t="s">
        <v>458</v>
      </c>
      <c r="N124">
        <v>665.86</v>
      </c>
      <c r="O124">
        <v>7</v>
      </c>
      <c r="P124">
        <v>66.209999999999994</v>
      </c>
      <c r="Q124">
        <f t="shared" si="4"/>
        <v>2021</v>
      </c>
      <c r="R124" t="str">
        <f t="shared" si="5"/>
        <v>Apr</v>
      </c>
    </row>
    <row r="125" spans="1:18" x14ac:dyDescent="0.35">
      <c r="A125" t="s">
        <v>459</v>
      </c>
      <c r="B125" s="1" t="s">
        <v>387</v>
      </c>
      <c r="C125" s="1" t="s">
        <v>460</v>
      </c>
      <c r="D125" s="1">
        <f t="shared" si="3"/>
        <v>4</v>
      </c>
      <c r="E125" t="s">
        <v>18</v>
      </c>
      <c r="F125" t="s">
        <v>19</v>
      </c>
      <c r="G125" t="s">
        <v>20</v>
      </c>
      <c r="H125" t="s">
        <v>39</v>
      </c>
      <c r="I125" t="s">
        <v>40</v>
      </c>
      <c r="J125" t="s">
        <v>41</v>
      </c>
      <c r="K125" t="s">
        <v>66</v>
      </c>
      <c r="L125" t="s">
        <v>74</v>
      </c>
      <c r="M125" t="s">
        <v>360</v>
      </c>
      <c r="N125">
        <v>638.30999999999995</v>
      </c>
      <c r="O125">
        <v>2</v>
      </c>
      <c r="P125">
        <v>21.51</v>
      </c>
      <c r="Q125">
        <f t="shared" si="4"/>
        <v>2021</v>
      </c>
      <c r="R125" t="str">
        <f t="shared" si="5"/>
        <v>Jul</v>
      </c>
    </row>
    <row r="126" spans="1:18" x14ac:dyDescent="0.35">
      <c r="A126" t="s">
        <v>461</v>
      </c>
      <c r="B126" s="1" t="s">
        <v>462</v>
      </c>
      <c r="C126" s="1" t="s">
        <v>298</v>
      </c>
      <c r="D126" s="1">
        <f t="shared" si="3"/>
        <v>3</v>
      </c>
      <c r="E126" t="s">
        <v>60</v>
      </c>
      <c r="F126" t="s">
        <v>31</v>
      </c>
      <c r="G126" t="s">
        <v>20</v>
      </c>
      <c r="H126" t="s">
        <v>47</v>
      </c>
      <c r="I126" t="s">
        <v>48</v>
      </c>
      <c r="J126" t="s">
        <v>41</v>
      </c>
      <c r="K126" t="s">
        <v>24</v>
      </c>
      <c r="L126" t="s">
        <v>25</v>
      </c>
      <c r="M126" t="s">
        <v>463</v>
      </c>
      <c r="N126">
        <v>1617.74</v>
      </c>
      <c r="O126">
        <v>6</v>
      </c>
      <c r="P126">
        <v>5.69</v>
      </c>
      <c r="Q126">
        <f t="shared" si="4"/>
        <v>2021</v>
      </c>
      <c r="R126" t="str">
        <f t="shared" si="5"/>
        <v>Jul</v>
      </c>
    </row>
    <row r="127" spans="1:18" x14ac:dyDescent="0.35">
      <c r="A127" t="s">
        <v>464</v>
      </c>
      <c r="B127" s="1" t="s">
        <v>465</v>
      </c>
      <c r="C127" s="1" t="s">
        <v>134</v>
      </c>
      <c r="D127" s="1">
        <f t="shared" si="3"/>
        <v>3</v>
      </c>
      <c r="E127" t="s">
        <v>30</v>
      </c>
      <c r="F127" t="s">
        <v>19</v>
      </c>
      <c r="G127" t="s">
        <v>20</v>
      </c>
      <c r="H127" t="s">
        <v>39</v>
      </c>
      <c r="I127" t="s">
        <v>40</v>
      </c>
      <c r="J127" t="s">
        <v>23</v>
      </c>
      <c r="K127" t="s">
        <v>66</v>
      </c>
      <c r="L127" t="s">
        <v>67</v>
      </c>
      <c r="M127" t="s">
        <v>466</v>
      </c>
      <c r="N127">
        <v>1339.73</v>
      </c>
      <c r="O127">
        <v>10</v>
      </c>
      <c r="P127">
        <v>-76.150000000000006</v>
      </c>
      <c r="Q127">
        <f t="shared" si="4"/>
        <v>2021</v>
      </c>
      <c r="R127" t="str">
        <f t="shared" si="5"/>
        <v>Aug</v>
      </c>
    </row>
    <row r="128" spans="1:18" x14ac:dyDescent="0.35">
      <c r="A128" t="s">
        <v>467</v>
      </c>
      <c r="B128" s="1" t="s">
        <v>468</v>
      </c>
      <c r="C128" s="1" t="s">
        <v>469</v>
      </c>
      <c r="D128" s="1">
        <f t="shared" si="3"/>
        <v>1</v>
      </c>
      <c r="E128" t="s">
        <v>30</v>
      </c>
      <c r="F128" t="s">
        <v>72</v>
      </c>
      <c r="G128" t="s">
        <v>20</v>
      </c>
      <c r="H128" t="s">
        <v>85</v>
      </c>
      <c r="I128" t="s">
        <v>85</v>
      </c>
      <c r="J128" t="s">
        <v>23</v>
      </c>
      <c r="K128" t="s">
        <v>24</v>
      </c>
      <c r="L128" t="s">
        <v>25</v>
      </c>
      <c r="M128" t="s">
        <v>470</v>
      </c>
      <c r="N128">
        <v>1865.8</v>
      </c>
      <c r="O128">
        <v>4</v>
      </c>
      <c r="P128">
        <v>142.81</v>
      </c>
      <c r="Q128">
        <f t="shared" si="4"/>
        <v>2021</v>
      </c>
      <c r="R128" t="str">
        <f t="shared" si="5"/>
        <v>Oct</v>
      </c>
    </row>
    <row r="129" spans="1:18" x14ac:dyDescent="0.35">
      <c r="A129" t="s">
        <v>471</v>
      </c>
      <c r="B129" s="1" t="s">
        <v>434</v>
      </c>
      <c r="C129" s="1" t="s">
        <v>472</v>
      </c>
      <c r="D129" s="1">
        <f t="shared" si="3"/>
        <v>1</v>
      </c>
      <c r="E129" t="s">
        <v>30</v>
      </c>
      <c r="F129" t="s">
        <v>19</v>
      </c>
      <c r="G129" t="s">
        <v>20</v>
      </c>
      <c r="H129" t="s">
        <v>21</v>
      </c>
      <c r="I129" t="s">
        <v>22</v>
      </c>
      <c r="J129" t="s">
        <v>23</v>
      </c>
      <c r="K129" t="s">
        <v>32</v>
      </c>
      <c r="L129" t="s">
        <v>61</v>
      </c>
      <c r="M129" t="s">
        <v>315</v>
      </c>
      <c r="N129">
        <v>1762</v>
      </c>
      <c r="O129">
        <v>1</v>
      </c>
      <c r="P129">
        <v>622.73</v>
      </c>
      <c r="Q129">
        <f t="shared" si="4"/>
        <v>2021</v>
      </c>
      <c r="R129" t="str">
        <f t="shared" si="5"/>
        <v>Aug</v>
      </c>
    </row>
    <row r="130" spans="1:18" x14ac:dyDescent="0.35">
      <c r="A130" t="s">
        <v>473</v>
      </c>
      <c r="B130" s="1" t="s">
        <v>298</v>
      </c>
      <c r="C130" s="1" t="s">
        <v>474</v>
      </c>
      <c r="D130" s="1">
        <f t="shared" si="3"/>
        <v>4</v>
      </c>
      <c r="E130" t="s">
        <v>115</v>
      </c>
      <c r="F130" t="s">
        <v>19</v>
      </c>
      <c r="G130" t="s">
        <v>20</v>
      </c>
      <c r="H130" t="s">
        <v>39</v>
      </c>
      <c r="I130" t="s">
        <v>40</v>
      </c>
      <c r="J130" t="s">
        <v>73</v>
      </c>
      <c r="K130" t="s">
        <v>32</v>
      </c>
      <c r="L130" t="s">
        <v>33</v>
      </c>
      <c r="M130" t="s">
        <v>475</v>
      </c>
      <c r="N130">
        <v>1070.19</v>
      </c>
      <c r="O130">
        <v>5</v>
      </c>
      <c r="P130">
        <v>-171.06</v>
      </c>
      <c r="Q130">
        <f t="shared" si="4"/>
        <v>2021</v>
      </c>
      <c r="R130" t="str">
        <f t="shared" si="5"/>
        <v>Aug</v>
      </c>
    </row>
    <row r="131" spans="1:18" x14ac:dyDescent="0.35">
      <c r="A131" t="s">
        <v>476</v>
      </c>
      <c r="B131" s="1" t="s">
        <v>106</v>
      </c>
      <c r="C131" s="1" t="s">
        <v>477</v>
      </c>
      <c r="D131" s="1">
        <f t="shared" ref="D131:D194" si="6">C131-B131</f>
        <v>3</v>
      </c>
      <c r="E131" t="s">
        <v>115</v>
      </c>
      <c r="F131" t="s">
        <v>19</v>
      </c>
      <c r="G131" t="s">
        <v>20</v>
      </c>
      <c r="H131" t="s">
        <v>39</v>
      </c>
      <c r="I131" t="s">
        <v>40</v>
      </c>
      <c r="J131" t="s">
        <v>79</v>
      </c>
      <c r="K131" t="s">
        <v>32</v>
      </c>
      <c r="L131" t="s">
        <v>61</v>
      </c>
      <c r="M131" t="s">
        <v>478</v>
      </c>
      <c r="N131">
        <v>136.18</v>
      </c>
      <c r="O131">
        <v>9</v>
      </c>
      <c r="P131">
        <v>77.42</v>
      </c>
      <c r="Q131">
        <f t="shared" ref="Q131:Q194" si="7">YEAR(B131)</f>
        <v>2021</v>
      </c>
      <c r="R131" t="str">
        <f t="shared" ref="R131:R194" si="8">TEXT(B131,"MMM")</f>
        <v>May</v>
      </c>
    </row>
    <row r="132" spans="1:18" x14ac:dyDescent="0.35">
      <c r="A132" t="s">
        <v>479</v>
      </c>
      <c r="B132" s="1" t="s">
        <v>37</v>
      </c>
      <c r="C132" s="1" t="s">
        <v>101</v>
      </c>
      <c r="D132" s="1">
        <f t="shared" si="6"/>
        <v>5</v>
      </c>
      <c r="E132" t="s">
        <v>18</v>
      </c>
      <c r="F132" t="s">
        <v>19</v>
      </c>
      <c r="G132" t="s">
        <v>20</v>
      </c>
      <c r="H132" t="s">
        <v>47</v>
      </c>
      <c r="I132" t="s">
        <v>48</v>
      </c>
      <c r="J132" t="s">
        <v>41</v>
      </c>
      <c r="K132" t="s">
        <v>32</v>
      </c>
      <c r="L132" t="s">
        <v>33</v>
      </c>
      <c r="M132" t="s">
        <v>480</v>
      </c>
      <c r="N132">
        <v>887.82</v>
      </c>
      <c r="O132">
        <v>9</v>
      </c>
      <c r="P132">
        <v>-140.24</v>
      </c>
      <c r="Q132">
        <f t="shared" si="7"/>
        <v>2021</v>
      </c>
      <c r="R132" t="str">
        <f t="shared" si="8"/>
        <v>Mar</v>
      </c>
    </row>
    <row r="133" spans="1:18" x14ac:dyDescent="0.35">
      <c r="A133" t="s">
        <v>481</v>
      </c>
      <c r="B133" s="1" t="s">
        <v>226</v>
      </c>
      <c r="C133" s="1" t="s">
        <v>482</v>
      </c>
      <c r="D133" s="1">
        <f t="shared" si="6"/>
        <v>1</v>
      </c>
      <c r="E133" t="s">
        <v>60</v>
      </c>
      <c r="F133" t="s">
        <v>72</v>
      </c>
      <c r="G133" t="s">
        <v>20</v>
      </c>
      <c r="H133" t="s">
        <v>39</v>
      </c>
      <c r="I133" t="s">
        <v>40</v>
      </c>
      <c r="J133" t="s">
        <v>41</v>
      </c>
      <c r="K133" t="s">
        <v>66</v>
      </c>
      <c r="L133" t="s">
        <v>67</v>
      </c>
      <c r="M133" t="s">
        <v>483</v>
      </c>
      <c r="N133">
        <v>145.38</v>
      </c>
      <c r="O133">
        <v>1</v>
      </c>
      <c r="P133">
        <v>515.97</v>
      </c>
      <c r="Q133">
        <f t="shared" si="7"/>
        <v>2021</v>
      </c>
      <c r="R133" t="str">
        <f t="shared" si="8"/>
        <v>Feb</v>
      </c>
    </row>
    <row r="134" spans="1:18" x14ac:dyDescent="0.35">
      <c r="A134" t="s">
        <v>484</v>
      </c>
      <c r="B134" s="1" t="s">
        <v>485</v>
      </c>
      <c r="C134" s="1" t="s">
        <v>486</v>
      </c>
      <c r="D134" s="1">
        <f t="shared" si="6"/>
        <v>1</v>
      </c>
      <c r="E134" t="s">
        <v>60</v>
      </c>
      <c r="F134" t="s">
        <v>72</v>
      </c>
      <c r="G134" t="s">
        <v>20</v>
      </c>
      <c r="H134" t="s">
        <v>39</v>
      </c>
      <c r="I134" t="s">
        <v>40</v>
      </c>
      <c r="J134" t="s">
        <v>41</v>
      </c>
      <c r="K134" t="s">
        <v>66</v>
      </c>
      <c r="L134" t="s">
        <v>67</v>
      </c>
      <c r="M134" t="s">
        <v>330</v>
      </c>
      <c r="N134">
        <v>155.07</v>
      </c>
      <c r="O134">
        <v>7</v>
      </c>
      <c r="P134">
        <v>570.49</v>
      </c>
      <c r="Q134">
        <f t="shared" si="7"/>
        <v>2021</v>
      </c>
      <c r="R134" t="str">
        <f t="shared" si="8"/>
        <v>Oct</v>
      </c>
    </row>
    <row r="135" spans="1:18" x14ac:dyDescent="0.35">
      <c r="A135" t="s">
        <v>487</v>
      </c>
      <c r="B135" s="1" t="s">
        <v>488</v>
      </c>
      <c r="C135" s="1" t="s">
        <v>346</v>
      </c>
      <c r="D135" s="1">
        <f t="shared" si="6"/>
        <v>4</v>
      </c>
      <c r="E135" t="s">
        <v>115</v>
      </c>
      <c r="F135" t="s">
        <v>31</v>
      </c>
      <c r="G135" t="s">
        <v>20</v>
      </c>
      <c r="H135" t="s">
        <v>39</v>
      </c>
      <c r="I135" t="s">
        <v>40</v>
      </c>
      <c r="J135" t="s">
        <v>23</v>
      </c>
      <c r="K135" t="s">
        <v>66</v>
      </c>
      <c r="L135" t="s">
        <v>67</v>
      </c>
      <c r="M135" t="s">
        <v>489</v>
      </c>
      <c r="N135">
        <v>1392.18</v>
      </c>
      <c r="O135">
        <v>2</v>
      </c>
      <c r="P135">
        <v>314.72000000000003</v>
      </c>
      <c r="Q135">
        <f t="shared" si="7"/>
        <v>2021</v>
      </c>
      <c r="R135" t="str">
        <f t="shared" si="8"/>
        <v>Mar</v>
      </c>
    </row>
    <row r="136" spans="1:18" x14ac:dyDescent="0.35">
      <c r="A136" t="s">
        <v>490</v>
      </c>
      <c r="B136" s="1" t="s">
        <v>105</v>
      </c>
      <c r="C136" s="1" t="s">
        <v>491</v>
      </c>
      <c r="D136" s="1">
        <f t="shared" si="6"/>
        <v>4</v>
      </c>
      <c r="E136" t="s">
        <v>115</v>
      </c>
      <c r="F136" t="s">
        <v>31</v>
      </c>
      <c r="G136" t="s">
        <v>20</v>
      </c>
      <c r="H136" t="s">
        <v>47</v>
      </c>
      <c r="I136" t="s">
        <v>48</v>
      </c>
      <c r="J136" t="s">
        <v>41</v>
      </c>
      <c r="K136" t="s">
        <v>24</v>
      </c>
      <c r="L136" t="s">
        <v>25</v>
      </c>
      <c r="M136" t="s">
        <v>407</v>
      </c>
      <c r="N136">
        <v>1315.14</v>
      </c>
      <c r="O136">
        <v>9</v>
      </c>
      <c r="P136">
        <v>70.78</v>
      </c>
      <c r="Q136">
        <f t="shared" si="7"/>
        <v>2021</v>
      </c>
      <c r="R136" t="str">
        <f t="shared" si="8"/>
        <v>May</v>
      </c>
    </row>
    <row r="137" spans="1:18" x14ac:dyDescent="0.35">
      <c r="A137" t="s">
        <v>492</v>
      </c>
      <c r="B137" s="1" t="s">
        <v>126</v>
      </c>
      <c r="C137" s="1" t="s">
        <v>493</v>
      </c>
      <c r="D137" s="1">
        <f t="shared" si="6"/>
        <v>4</v>
      </c>
      <c r="E137" t="s">
        <v>115</v>
      </c>
      <c r="F137" t="s">
        <v>72</v>
      </c>
      <c r="G137" t="s">
        <v>20</v>
      </c>
      <c r="H137" t="s">
        <v>21</v>
      </c>
      <c r="I137" t="s">
        <v>22</v>
      </c>
      <c r="J137" t="s">
        <v>73</v>
      </c>
      <c r="K137" t="s">
        <v>32</v>
      </c>
      <c r="L137" t="s">
        <v>55</v>
      </c>
      <c r="M137" t="s">
        <v>494</v>
      </c>
      <c r="N137">
        <v>405.25</v>
      </c>
      <c r="O137">
        <v>2</v>
      </c>
      <c r="P137">
        <v>432.61</v>
      </c>
      <c r="Q137">
        <f t="shared" si="7"/>
        <v>2021</v>
      </c>
      <c r="R137" t="str">
        <f t="shared" si="8"/>
        <v>Apr</v>
      </c>
    </row>
    <row r="138" spans="1:18" x14ac:dyDescent="0.35">
      <c r="A138" t="s">
        <v>495</v>
      </c>
      <c r="B138" s="1" t="s">
        <v>441</v>
      </c>
      <c r="C138" s="1" t="s">
        <v>418</v>
      </c>
      <c r="D138" s="1">
        <f t="shared" si="6"/>
        <v>5</v>
      </c>
      <c r="E138" t="s">
        <v>38</v>
      </c>
      <c r="F138" t="s">
        <v>31</v>
      </c>
      <c r="G138" t="s">
        <v>20</v>
      </c>
      <c r="H138" t="s">
        <v>53</v>
      </c>
      <c r="I138" t="s">
        <v>54</v>
      </c>
      <c r="J138" t="s">
        <v>41</v>
      </c>
      <c r="K138" t="s">
        <v>24</v>
      </c>
      <c r="L138" t="s">
        <v>42</v>
      </c>
      <c r="M138" t="s">
        <v>496</v>
      </c>
      <c r="N138">
        <v>51.51</v>
      </c>
      <c r="O138">
        <v>9</v>
      </c>
      <c r="P138">
        <v>-35.32</v>
      </c>
      <c r="Q138">
        <f t="shared" si="7"/>
        <v>2021</v>
      </c>
      <c r="R138" t="str">
        <f t="shared" si="8"/>
        <v>Jan</v>
      </c>
    </row>
    <row r="139" spans="1:18" x14ac:dyDescent="0.35">
      <c r="A139" t="s">
        <v>497</v>
      </c>
      <c r="B139" s="1" t="s">
        <v>293</v>
      </c>
      <c r="C139" s="1" t="s">
        <v>498</v>
      </c>
      <c r="D139" s="1">
        <f t="shared" si="6"/>
        <v>5</v>
      </c>
      <c r="E139" t="s">
        <v>115</v>
      </c>
      <c r="F139" t="s">
        <v>19</v>
      </c>
      <c r="G139" t="s">
        <v>20</v>
      </c>
      <c r="H139" t="s">
        <v>85</v>
      </c>
      <c r="I139" t="s">
        <v>85</v>
      </c>
      <c r="J139" t="s">
        <v>23</v>
      </c>
      <c r="K139" t="s">
        <v>32</v>
      </c>
      <c r="L139" t="s">
        <v>55</v>
      </c>
      <c r="M139" t="s">
        <v>499</v>
      </c>
      <c r="N139">
        <v>1423.62</v>
      </c>
      <c r="O139">
        <v>3</v>
      </c>
      <c r="P139">
        <v>591.37</v>
      </c>
      <c r="Q139">
        <f t="shared" si="7"/>
        <v>2021</v>
      </c>
      <c r="R139" t="str">
        <f t="shared" si="8"/>
        <v>Jul</v>
      </c>
    </row>
    <row r="140" spans="1:18" x14ac:dyDescent="0.35">
      <c r="A140" t="s">
        <v>500</v>
      </c>
      <c r="B140" s="1" t="s">
        <v>429</v>
      </c>
      <c r="C140" s="1" t="s">
        <v>501</v>
      </c>
      <c r="D140" s="1">
        <f t="shared" si="6"/>
        <v>5</v>
      </c>
      <c r="E140" t="s">
        <v>30</v>
      </c>
      <c r="F140" t="s">
        <v>72</v>
      </c>
      <c r="G140" t="s">
        <v>20</v>
      </c>
      <c r="H140" t="s">
        <v>53</v>
      </c>
      <c r="I140" t="s">
        <v>54</v>
      </c>
      <c r="J140" t="s">
        <v>73</v>
      </c>
      <c r="K140" t="s">
        <v>32</v>
      </c>
      <c r="L140" t="s">
        <v>61</v>
      </c>
      <c r="M140" t="s">
        <v>502</v>
      </c>
      <c r="N140">
        <v>122.93</v>
      </c>
      <c r="O140">
        <v>9</v>
      </c>
      <c r="P140">
        <v>304.12</v>
      </c>
      <c r="Q140">
        <f t="shared" si="7"/>
        <v>2021</v>
      </c>
      <c r="R140" t="str">
        <f t="shared" si="8"/>
        <v>Jun</v>
      </c>
    </row>
    <row r="141" spans="1:18" x14ac:dyDescent="0.35">
      <c r="A141" t="s">
        <v>503</v>
      </c>
      <c r="B141" s="1" t="s">
        <v>504</v>
      </c>
      <c r="C141" s="1" t="s">
        <v>505</v>
      </c>
      <c r="D141" s="1">
        <f t="shared" si="6"/>
        <v>3</v>
      </c>
      <c r="E141" t="s">
        <v>38</v>
      </c>
      <c r="F141" t="s">
        <v>72</v>
      </c>
      <c r="G141" t="s">
        <v>20</v>
      </c>
      <c r="H141" t="s">
        <v>53</v>
      </c>
      <c r="I141" t="s">
        <v>54</v>
      </c>
      <c r="J141" t="s">
        <v>41</v>
      </c>
      <c r="K141" t="s">
        <v>24</v>
      </c>
      <c r="L141" t="s">
        <v>42</v>
      </c>
      <c r="M141" t="s">
        <v>496</v>
      </c>
      <c r="N141">
        <v>630.71</v>
      </c>
      <c r="O141">
        <v>7</v>
      </c>
      <c r="P141">
        <v>58.25</v>
      </c>
      <c r="Q141">
        <f t="shared" si="7"/>
        <v>2021</v>
      </c>
      <c r="R141" t="str">
        <f t="shared" si="8"/>
        <v>Dec</v>
      </c>
    </row>
    <row r="142" spans="1:18" x14ac:dyDescent="0.35">
      <c r="A142" t="s">
        <v>506</v>
      </c>
      <c r="B142" s="1" t="s">
        <v>77</v>
      </c>
      <c r="C142" s="1" t="s">
        <v>465</v>
      </c>
      <c r="D142" s="1">
        <f t="shared" si="6"/>
        <v>2</v>
      </c>
      <c r="E142" t="s">
        <v>38</v>
      </c>
      <c r="F142" t="s">
        <v>72</v>
      </c>
      <c r="G142" t="s">
        <v>20</v>
      </c>
      <c r="H142" t="s">
        <v>53</v>
      </c>
      <c r="I142" t="s">
        <v>54</v>
      </c>
      <c r="J142" t="s">
        <v>23</v>
      </c>
      <c r="K142" t="s">
        <v>66</v>
      </c>
      <c r="L142" t="s">
        <v>74</v>
      </c>
      <c r="M142" t="s">
        <v>287</v>
      </c>
      <c r="N142">
        <v>1413.47</v>
      </c>
      <c r="O142">
        <v>10</v>
      </c>
      <c r="P142">
        <v>315.89</v>
      </c>
      <c r="Q142">
        <f t="shared" si="7"/>
        <v>2021</v>
      </c>
      <c r="R142" t="str">
        <f t="shared" si="8"/>
        <v>Aug</v>
      </c>
    </row>
    <row r="143" spans="1:18" x14ac:dyDescent="0.35">
      <c r="A143" t="s">
        <v>507</v>
      </c>
      <c r="B143" s="1" t="s">
        <v>508</v>
      </c>
      <c r="C143" s="1" t="s">
        <v>509</v>
      </c>
      <c r="D143" s="1">
        <f t="shared" si="6"/>
        <v>3</v>
      </c>
      <c r="E143" t="s">
        <v>60</v>
      </c>
      <c r="F143" t="s">
        <v>72</v>
      </c>
      <c r="G143" t="s">
        <v>20</v>
      </c>
      <c r="H143" t="s">
        <v>39</v>
      </c>
      <c r="I143" t="s">
        <v>40</v>
      </c>
      <c r="J143" t="s">
        <v>41</v>
      </c>
      <c r="K143" t="s">
        <v>24</v>
      </c>
      <c r="L143" t="s">
        <v>42</v>
      </c>
      <c r="M143" t="s">
        <v>510</v>
      </c>
      <c r="N143">
        <v>1804.73</v>
      </c>
      <c r="O143">
        <v>5</v>
      </c>
      <c r="P143">
        <v>574.99</v>
      </c>
      <c r="Q143">
        <f t="shared" si="7"/>
        <v>2021</v>
      </c>
      <c r="R143" t="str">
        <f t="shared" si="8"/>
        <v>Dec</v>
      </c>
    </row>
    <row r="144" spans="1:18" x14ac:dyDescent="0.35">
      <c r="A144" t="s">
        <v>511</v>
      </c>
      <c r="B144" s="1" t="s">
        <v>512</v>
      </c>
      <c r="C144" s="1" t="s">
        <v>513</v>
      </c>
      <c r="D144" s="1">
        <f t="shared" si="6"/>
        <v>1</v>
      </c>
      <c r="E144" t="s">
        <v>115</v>
      </c>
      <c r="F144" t="s">
        <v>19</v>
      </c>
      <c r="G144" t="s">
        <v>20</v>
      </c>
      <c r="H144" t="s">
        <v>39</v>
      </c>
      <c r="I144" t="s">
        <v>40</v>
      </c>
      <c r="J144" t="s">
        <v>73</v>
      </c>
      <c r="K144" t="s">
        <v>32</v>
      </c>
      <c r="L144" t="s">
        <v>55</v>
      </c>
      <c r="M144" t="s">
        <v>514</v>
      </c>
      <c r="N144">
        <v>192.76</v>
      </c>
      <c r="O144">
        <v>9</v>
      </c>
      <c r="P144">
        <v>-71.8</v>
      </c>
      <c r="Q144">
        <f t="shared" si="7"/>
        <v>2021</v>
      </c>
      <c r="R144" t="str">
        <f t="shared" si="8"/>
        <v>May</v>
      </c>
    </row>
    <row r="145" spans="1:18" x14ac:dyDescent="0.35">
      <c r="A145" t="s">
        <v>515</v>
      </c>
      <c r="B145" s="1" t="s">
        <v>16</v>
      </c>
      <c r="C145" s="1" t="s">
        <v>306</v>
      </c>
      <c r="D145" s="1">
        <f t="shared" si="6"/>
        <v>2</v>
      </c>
      <c r="E145" t="s">
        <v>115</v>
      </c>
      <c r="F145" t="s">
        <v>72</v>
      </c>
      <c r="G145" t="s">
        <v>20</v>
      </c>
      <c r="H145" t="s">
        <v>53</v>
      </c>
      <c r="I145" t="s">
        <v>54</v>
      </c>
      <c r="J145" t="s">
        <v>41</v>
      </c>
      <c r="K145" t="s">
        <v>32</v>
      </c>
      <c r="L145" t="s">
        <v>61</v>
      </c>
      <c r="M145" t="s">
        <v>516</v>
      </c>
      <c r="N145">
        <v>1229.67</v>
      </c>
      <c r="O145">
        <v>3</v>
      </c>
      <c r="P145">
        <v>352</v>
      </c>
      <c r="Q145">
        <f t="shared" si="7"/>
        <v>2021</v>
      </c>
      <c r="R145" t="str">
        <f t="shared" si="8"/>
        <v>Dec</v>
      </c>
    </row>
    <row r="146" spans="1:18" x14ac:dyDescent="0.35">
      <c r="A146" t="s">
        <v>517</v>
      </c>
      <c r="B146" s="1" t="s">
        <v>518</v>
      </c>
      <c r="C146" s="1" t="s">
        <v>414</v>
      </c>
      <c r="D146" s="1">
        <f t="shared" si="6"/>
        <v>3</v>
      </c>
      <c r="E146" t="s">
        <v>115</v>
      </c>
      <c r="F146" t="s">
        <v>19</v>
      </c>
      <c r="G146" t="s">
        <v>20</v>
      </c>
      <c r="H146" t="s">
        <v>47</v>
      </c>
      <c r="I146" t="s">
        <v>48</v>
      </c>
      <c r="J146" t="s">
        <v>79</v>
      </c>
      <c r="K146" t="s">
        <v>24</v>
      </c>
      <c r="L146" t="s">
        <v>25</v>
      </c>
      <c r="M146" t="s">
        <v>463</v>
      </c>
      <c r="N146">
        <v>906.09</v>
      </c>
      <c r="O146">
        <v>10</v>
      </c>
      <c r="P146">
        <v>-24.63</v>
      </c>
      <c r="Q146">
        <f t="shared" si="7"/>
        <v>2021</v>
      </c>
      <c r="R146" t="str">
        <f t="shared" si="8"/>
        <v>Oct</v>
      </c>
    </row>
    <row r="147" spans="1:18" x14ac:dyDescent="0.35">
      <c r="A147" t="s">
        <v>519</v>
      </c>
      <c r="B147" s="1" t="s">
        <v>142</v>
      </c>
      <c r="C147" s="1" t="s">
        <v>520</v>
      </c>
      <c r="D147" s="1">
        <f t="shared" si="6"/>
        <v>4</v>
      </c>
      <c r="E147" t="s">
        <v>18</v>
      </c>
      <c r="F147" t="s">
        <v>31</v>
      </c>
      <c r="G147" t="s">
        <v>20</v>
      </c>
      <c r="H147" t="s">
        <v>53</v>
      </c>
      <c r="I147" t="s">
        <v>54</v>
      </c>
      <c r="J147" t="s">
        <v>73</v>
      </c>
      <c r="K147" t="s">
        <v>66</v>
      </c>
      <c r="L147" t="s">
        <v>74</v>
      </c>
      <c r="M147" t="s">
        <v>521</v>
      </c>
      <c r="N147">
        <v>813.5</v>
      </c>
      <c r="O147">
        <v>8</v>
      </c>
      <c r="P147">
        <v>520.96</v>
      </c>
      <c r="Q147">
        <f t="shared" si="7"/>
        <v>2021</v>
      </c>
      <c r="R147" t="str">
        <f t="shared" si="8"/>
        <v>Jun</v>
      </c>
    </row>
    <row r="148" spans="1:18" x14ac:dyDescent="0.35">
      <c r="A148" t="s">
        <v>522</v>
      </c>
      <c r="B148" s="1" t="s">
        <v>523</v>
      </c>
      <c r="C148" s="1" t="s">
        <v>524</v>
      </c>
      <c r="D148" s="1">
        <f t="shared" si="6"/>
        <v>5</v>
      </c>
      <c r="E148" t="s">
        <v>115</v>
      </c>
      <c r="F148" t="s">
        <v>19</v>
      </c>
      <c r="G148" t="s">
        <v>20</v>
      </c>
      <c r="H148" t="s">
        <v>39</v>
      </c>
      <c r="I148" t="s">
        <v>40</v>
      </c>
      <c r="J148" t="s">
        <v>73</v>
      </c>
      <c r="K148" t="s">
        <v>66</v>
      </c>
      <c r="L148" t="s">
        <v>74</v>
      </c>
      <c r="M148" t="s">
        <v>525</v>
      </c>
      <c r="N148">
        <v>523.77</v>
      </c>
      <c r="O148">
        <v>9</v>
      </c>
      <c r="P148">
        <v>-133.46</v>
      </c>
      <c r="Q148">
        <f t="shared" si="7"/>
        <v>2021</v>
      </c>
      <c r="R148" t="str">
        <f t="shared" si="8"/>
        <v>Oct</v>
      </c>
    </row>
    <row r="149" spans="1:18" x14ac:dyDescent="0.35">
      <c r="A149" t="s">
        <v>526</v>
      </c>
      <c r="B149" s="1" t="s">
        <v>527</v>
      </c>
      <c r="C149" s="1" t="s">
        <v>182</v>
      </c>
      <c r="D149" s="1">
        <f t="shared" si="6"/>
        <v>3</v>
      </c>
      <c r="E149" t="s">
        <v>38</v>
      </c>
      <c r="F149" t="s">
        <v>31</v>
      </c>
      <c r="G149" t="s">
        <v>20</v>
      </c>
      <c r="H149" t="s">
        <v>39</v>
      </c>
      <c r="I149" t="s">
        <v>40</v>
      </c>
      <c r="J149" t="s">
        <v>79</v>
      </c>
      <c r="K149" t="s">
        <v>24</v>
      </c>
      <c r="L149" t="s">
        <v>42</v>
      </c>
      <c r="M149" t="s">
        <v>528</v>
      </c>
      <c r="N149">
        <v>1433.93</v>
      </c>
      <c r="O149">
        <v>10</v>
      </c>
      <c r="P149">
        <v>280.19</v>
      </c>
      <c r="Q149">
        <f t="shared" si="7"/>
        <v>2021</v>
      </c>
      <c r="R149" t="str">
        <f t="shared" si="8"/>
        <v>Jan</v>
      </c>
    </row>
    <row r="150" spans="1:18" x14ac:dyDescent="0.35">
      <c r="A150" t="s">
        <v>529</v>
      </c>
      <c r="B150" s="1" t="s">
        <v>387</v>
      </c>
      <c r="C150" s="1" t="s">
        <v>259</v>
      </c>
      <c r="D150" s="1">
        <f t="shared" si="6"/>
        <v>5</v>
      </c>
      <c r="E150" t="s">
        <v>115</v>
      </c>
      <c r="F150" t="s">
        <v>19</v>
      </c>
      <c r="G150" t="s">
        <v>20</v>
      </c>
      <c r="H150" t="s">
        <v>47</v>
      </c>
      <c r="I150" t="s">
        <v>48</v>
      </c>
      <c r="J150" t="s">
        <v>79</v>
      </c>
      <c r="K150" t="s">
        <v>66</v>
      </c>
      <c r="L150" t="s">
        <v>74</v>
      </c>
      <c r="M150" t="s">
        <v>530</v>
      </c>
      <c r="N150">
        <v>678.21</v>
      </c>
      <c r="O150">
        <v>3</v>
      </c>
      <c r="P150">
        <v>40.450000000000003</v>
      </c>
      <c r="Q150">
        <f t="shared" si="7"/>
        <v>2021</v>
      </c>
      <c r="R150" t="str">
        <f t="shared" si="8"/>
        <v>Jul</v>
      </c>
    </row>
    <row r="151" spans="1:18" x14ac:dyDescent="0.35">
      <c r="A151" t="s">
        <v>531</v>
      </c>
      <c r="B151" s="1" t="s">
        <v>518</v>
      </c>
      <c r="C151" s="1" t="s">
        <v>414</v>
      </c>
      <c r="D151" s="1">
        <f t="shared" si="6"/>
        <v>3</v>
      </c>
      <c r="E151" t="s">
        <v>30</v>
      </c>
      <c r="F151" t="s">
        <v>31</v>
      </c>
      <c r="G151" t="s">
        <v>20</v>
      </c>
      <c r="H151" t="s">
        <v>47</v>
      </c>
      <c r="I151" t="s">
        <v>48</v>
      </c>
      <c r="J151" t="s">
        <v>23</v>
      </c>
      <c r="K151" t="s">
        <v>66</v>
      </c>
      <c r="L151" t="s">
        <v>74</v>
      </c>
      <c r="M151" t="s">
        <v>532</v>
      </c>
      <c r="N151">
        <v>1218.1199999999999</v>
      </c>
      <c r="O151">
        <v>6</v>
      </c>
      <c r="P151">
        <v>26.68</v>
      </c>
      <c r="Q151">
        <f t="shared" si="7"/>
        <v>2021</v>
      </c>
      <c r="R151" t="str">
        <f t="shared" si="8"/>
        <v>Oct</v>
      </c>
    </row>
    <row r="152" spans="1:18" x14ac:dyDescent="0.35">
      <c r="A152" t="s">
        <v>533</v>
      </c>
      <c r="B152" s="1" t="s">
        <v>534</v>
      </c>
      <c r="C152" s="1" t="s">
        <v>28</v>
      </c>
      <c r="D152" s="1">
        <f t="shared" si="6"/>
        <v>4</v>
      </c>
      <c r="E152" t="s">
        <v>60</v>
      </c>
      <c r="F152" t="s">
        <v>31</v>
      </c>
      <c r="G152" t="s">
        <v>20</v>
      </c>
      <c r="H152" t="s">
        <v>53</v>
      </c>
      <c r="I152" t="s">
        <v>54</v>
      </c>
      <c r="J152" t="s">
        <v>73</v>
      </c>
      <c r="K152" t="s">
        <v>24</v>
      </c>
      <c r="L152" t="s">
        <v>42</v>
      </c>
      <c r="M152" t="s">
        <v>535</v>
      </c>
      <c r="N152">
        <v>1936.21</v>
      </c>
      <c r="O152">
        <v>1</v>
      </c>
      <c r="P152">
        <v>424.91</v>
      </c>
      <c r="Q152">
        <f t="shared" si="7"/>
        <v>2021</v>
      </c>
      <c r="R152" t="str">
        <f t="shared" si="8"/>
        <v>Apr</v>
      </c>
    </row>
    <row r="153" spans="1:18" x14ac:dyDescent="0.35">
      <c r="A153" t="s">
        <v>536</v>
      </c>
      <c r="B153" s="1" t="s">
        <v>537</v>
      </c>
      <c r="C153" s="1" t="s">
        <v>29</v>
      </c>
      <c r="D153" s="1">
        <f t="shared" si="6"/>
        <v>1</v>
      </c>
      <c r="E153" t="s">
        <v>115</v>
      </c>
      <c r="F153" t="s">
        <v>19</v>
      </c>
      <c r="G153" t="s">
        <v>20</v>
      </c>
      <c r="H153" t="s">
        <v>85</v>
      </c>
      <c r="I153" t="s">
        <v>85</v>
      </c>
      <c r="J153" t="s">
        <v>23</v>
      </c>
      <c r="K153" t="s">
        <v>24</v>
      </c>
      <c r="L153" t="s">
        <v>90</v>
      </c>
      <c r="M153" t="s">
        <v>538</v>
      </c>
      <c r="N153">
        <v>102.91</v>
      </c>
      <c r="O153">
        <v>6</v>
      </c>
      <c r="P153">
        <v>463.07</v>
      </c>
      <c r="Q153">
        <f t="shared" si="7"/>
        <v>2021</v>
      </c>
      <c r="R153" t="str">
        <f t="shared" si="8"/>
        <v>May</v>
      </c>
    </row>
    <row r="154" spans="1:18" x14ac:dyDescent="0.35">
      <c r="A154" t="s">
        <v>539</v>
      </c>
      <c r="B154" s="1" t="s">
        <v>189</v>
      </c>
      <c r="C154" s="1" t="s">
        <v>493</v>
      </c>
      <c r="D154" s="1">
        <f t="shared" si="6"/>
        <v>3</v>
      </c>
      <c r="E154" t="s">
        <v>18</v>
      </c>
      <c r="F154" t="s">
        <v>19</v>
      </c>
      <c r="G154" t="s">
        <v>20</v>
      </c>
      <c r="H154" t="s">
        <v>21</v>
      </c>
      <c r="I154" t="s">
        <v>22</v>
      </c>
      <c r="J154" t="s">
        <v>23</v>
      </c>
      <c r="K154" t="s">
        <v>32</v>
      </c>
      <c r="L154" t="s">
        <v>61</v>
      </c>
      <c r="M154" t="s">
        <v>540</v>
      </c>
      <c r="N154">
        <v>1008.43</v>
      </c>
      <c r="O154">
        <v>2</v>
      </c>
      <c r="P154">
        <v>-171.92</v>
      </c>
      <c r="Q154">
        <f t="shared" si="7"/>
        <v>2021</v>
      </c>
      <c r="R154" t="str">
        <f t="shared" si="8"/>
        <v>Apr</v>
      </c>
    </row>
    <row r="155" spans="1:18" x14ac:dyDescent="0.35">
      <c r="A155" t="s">
        <v>541</v>
      </c>
      <c r="B155" s="1" t="s">
        <v>93</v>
      </c>
      <c r="C155" s="1" t="s">
        <v>542</v>
      </c>
      <c r="D155" s="1">
        <f t="shared" si="6"/>
        <v>4</v>
      </c>
      <c r="E155" t="s">
        <v>60</v>
      </c>
      <c r="F155" t="s">
        <v>19</v>
      </c>
      <c r="G155" t="s">
        <v>20</v>
      </c>
      <c r="H155" t="s">
        <v>39</v>
      </c>
      <c r="I155" t="s">
        <v>40</v>
      </c>
      <c r="J155" t="s">
        <v>73</v>
      </c>
      <c r="K155" t="s">
        <v>66</v>
      </c>
      <c r="L155" t="s">
        <v>74</v>
      </c>
      <c r="M155" t="s">
        <v>543</v>
      </c>
      <c r="N155">
        <v>1508.93</v>
      </c>
      <c r="O155">
        <v>1</v>
      </c>
      <c r="P155">
        <v>597.91999999999996</v>
      </c>
      <c r="Q155">
        <f t="shared" si="7"/>
        <v>2021</v>
      </c>
      <c r="R155" t="str">
        <f t="shared" si="8"/>
        <v>Nov</v>
      </c>
    </row>
    <row r="156" spans="1:18" x14ac:dyDescent="0.35">
      <c r="A156" t="s">
        <v>544</v>
      </c>
      <c r="B156" s="1" t="s">
        <v>134</v>
      </c>
      <c r="C156" s="1" t="s">
        <v>545</v>
      </c>
      <c r="D156" s="1">
        <f t="shared" si="6"/>
        <v>1</v>
      </c>
      <c r="E156" t="s">
        <v>38</v>
      </c>
      <c r="F156" t="s">
        <v>72</v>
      </c>
      <c r="G156" t="s">
        <v>20</v>
      </c>
      <c r="H156" t="s">
        <v>85</v>
      </c>
      <c r="I156" t="s">
        <v>85</v>
      </c>
      <c r="J156" t="s">
        <v>23</v>
      </c>
      <c r="K156" t="s">
        <v>24</v>
      </c>
      <c r="L156" t="s">
        <v>90</v>
      </c>
      <c r="M156" t="s">
        <v>546</v>
      </c>
      <c r="N156">
        <v>509.13</v>
      </c>
      <c r="O156">
        <v>1</v>
      </c>
      <c r="P156">
        <v>278.97000000000003</v>
      </c>
      <c r="Q156">
        <f t="shared" si="7"/>
        <v>2021</v>
      </c>
      <c r="R156" t="str">
        <f t="shared" si="8"/>
        <v>Aug</v>
      </c>
    </row>
    <row r="157" spans="1:18" x14ac:dyDescent="0.35">
      <c r="A157" t="s">
        <v>547</v>
      </c>
      <c r="B157" s="1" t="s">
        <v>114</v>
      </c>
      <c r="C157" s="1" t="s">
        <v>548</v>
      </c>
      <c r="D157" s="1">
        <f t="shared" si="6"/>
        <v>4</v>
      </c>
      <c r="E157" t="s">
        <v>115</v>
      </c>
      <c r="F157" t="s">
        <v>72</v>
      </c>
      <c r="G157" t="s">
        <v>20</v>
      </c>
      <c r="H157" t="s">
        <v>47</v>
      </c>
      <c r="I157" t="s">
        <v>48</v>
      </c>
      <c r="J157" t="s">
        <v>41</v>
      </c>
      <c r="K157" t="s">
        <v>66</v>
      </c>
      <c r="L157" t="s">
        <v>74</v>
      </c>
      <c r="M157" t="s">
        <v>148</v>
      </c>
      <c r="N157">
        <v>1455.15</v>
      </c>
      <c r="O157">
        <v>8</v>
      </c>
      <c r="P157">
        <v>-154.75</v>
      </c>
      <c r="Q157">
        <f t="shared" si="7"/>
        <v>2021</v>
      </c>
      <c r="R157" t="str">
        <f t="shared" si="8"/>
        <v>Apr</v>
      </c>
    </row>
    <row r="158" spans="1:18" x14ac:dyDescent="0.35">
      <c r="A158" t="s">
        <v>549</v>
      </c>
      <c r="B158" s="1" t="s">
        <v>329</v>
      </c>
      <c r="C158" s="1" t="s">
        <v>550</v>
      </c>
      <c r="D158" s="1">
        <f t="shared" si="6"/>
        <v>3</v>
      </c>
      <c r="E158" t="s">
        <v>60</v>
      </c>
      <c r="F158" t="s">
        <v>31</v>
      </c>
      <c r="G158" t="s">
        <v>20</v>
      </c>
      <c r="H158" t="s">
        <v>47</v>
      </c>
      <c r="I158" t="s">
        <v>48</v>
      </c>
      <c r="J158" t="s">
        <v>23</v>
      </c>
      <c r="K158" t="s">
        <v>66</v>
      </c>
      <c r="L158" t="s">
        <v>67</v>
      </c>
      <c r="M158" t="s">
        <v>551</v>
      </c>
      <c r="N158">
        <v>483.31</v>
      </c>
      <c r="O158">
        <v>1</v>
      </c>
      <c r="P158">
        <v>293.27999999999997</v>
      </c>
      <c r="Q158">
        <f t="shared" si="7"/>
        <v>2021</v>
      </c>
      <c r="R158" t="str">
        <f t="shared" si="8"/>
        <v>Jan</v>
      </c>
    </row>
    <row r="159" spans="1:18" x14ac:dyDescent="0.35">
      <c r="A159" t="s">
        <v>552</v>
      </c>
      <c r="B159" s="1" t="s">
        <v>441</v>
      </c>
      <c r="C159" s="1" t="s">
        <v>438</v>
      </c>
      <c r="D159" s="1">
        <f t="shared" si="6"/>
        <v>3</v>
      </c>
      <c r="E159" t="s">
        <v>30</v>
      </c>
      <c r="F159" t="s">
        <v>31</v>
      </c>
      <c r="G159" t="s">
        <v>20</v>
      </c>
      <c r="H159" t="s">
        <v>21</v>
      </c>
      <c r="I159" t="s">
        <v>22</v>
      </c>
      <c r="J159" t="s">
        <v>23</v>
      </c>
      <c r="K159" t="s">
        <v>32</v>
      </c>
      <c r="L159" t="s">
        <v>55</v>
      </c>
      <c r="M159" t="s">
        <v>553</v>
      </c>
      <c r="N159">
        <v>1489.18</v>
      </c>
      <c r="O159">
        <v>3</v>
      </c>
      <c r="P159">
        <v>21.13</v>
      </c>
      <c r="Q159">
        <f t="shared" si="7"/>
        <v>2021</v>
      </c>
      <c r="R159" t="str">
        <f t="shared" si="8"/>
        <v>Jan</v>
      </c>
    </row>
    <row r="160" spans="1:18" x14ac:dyDescent="0.35">
      <c r="A160" t="s">
        <v>554</v>
      </c>
      <c r="B160" s="1" t="s">
        <v>222</v>
      </c>
      <c r="C160" s="1" t="s">
        <v>46</v>
      </c>
      <c r="D160" s="1">
        <f t="shared" si="6"/>
        <v>5</v>
      </c>
      <c r="E160" t="s">
        <v>60</v>
      </c>
      <c r="F160" t="s">
        <v>72</v>
      </c>
      <c r="G160" t="s">
        <v>20</v>
      </c>
      <c r="H160" t="s">
        <v>21</v>
      </c>
      <c r="I160" t="s">
        <v>22</v>
      </c>
      <c r="J160" t="s">
        <v>73</v>
      </c>
      <c r="K160" t="s">
        <v>66</v>
      </c>
      <c r="L160" t="s">
        <v>80</v>
      </c>
      <c r="M160" t="s">
        <v>555</v>
      </c>
      <c r="N160">
        <v>1906.72</v>
      </c>
      <c r="O160">
        <v>7</v>
      </c>
      <c r="P160">
        <v>401.38</v>
      </c>
      <c r="Q160">
        <f t="shared" si="7"/>
        <v>2021</v>
      </c>
      <c r="R160" t="str">
        <f t="shared" si="8"/>
        <v>Sep</v>
      </c>
    </row>
    <row r="161" spans="1:18" x14ac:dyDescent="0.35">
      <c r="A161" t="s">
        <v>556</v>
      </c>
      <c r="B161" s="1" t="s">
        <v>557</v>
      </c>
      <c r="C161" s="1" t="s">
        <v>558</v>
      </c>
      <c r="D161" s="1">
        <f t="shared" si="6"/>
        <v>1</v>
      </c>
      <c r="E161" t="s">
        <v>30</v>
      </c>
      <c r="F161" t="s">
        <v>72</v>
      </c>
      <c r="G161" t="s">
        <v>20</v>
      </c>
      <c r="H161" t="s">
        <v>53</v>
      </c>
      <c r="I161" t="s">
        <v>54</v>
      </c>
      <c r="J161" t="s">
        <v>41</v>
      </c>
      <c r="K161" t="s">
        <v>32</v>
      </c>
      <c r="L161" t="s">
        <v>61</v>
      </c>
      <c r="M161" t="s">
        <v>559</v>
      </c>
      <c r="N161">
        <v>1680.13</v>
      </c>
      <c r="O161">
        <v>3</v>
      </c>
      <c r="P161">
        <v>612.09</v>
      </c>
      <c r="Q161">
        <f t="shared" si="7"/>
        <v>2021</v>
      </c>
      <c r="R161" t="str">
        <f t="shared" si="8"/>
        <v>Oct</v>
      </c>
    </row>
    <row r="162" spans="1:18" x14ac:dyDescent="0.35">
      <c r="A162" t="s">
        <v>560</v>
      </c>
      <c r="B162" s="1" t="s">
        <v>561</v>
      </c>
      <c r="C162" s="1" t="s">
        <v>562</v>
      </c>
      <c r="D162" s="1">
        <f t="shared" si="6"/>
        <v>1</v>
      </c>
      <c r="E162" t="s">
        <v>38</v>
      </c>
      <c r="F162" t="s">
        <v>19</v>
      </c>
      <c r="G162" t="s">
        <v>20</v>
      </c>
      <c r="H162" t="s">
        <v>21</v>
      </c>
      <c r="I162" t="s">
        <v>22</v>
      </c>
      <c r="J162" t="s">
        <v>79</v>
      </c>
      <c r="K162" t="s">
        <v>66</v>
      </c>
      <c r="L162" t="s">
        <v>74</v>
      </c>
      <c r="M162" t="s">
        <v>563</v>
      </c>
      <c r="N162">
        <v>603.33000000000004</v>
      </c>
      <c r="O162">
        <v>3</v>
      </c>
      <c r="P162">
        <v>606.38</v>
      </c>
      <c r="Q162">
        <f t="shared" si="7"/>
        <v>2021</v>
      </c>
      <c r="R162" t="str">
        <f t="shared" si="8"/>
        <v>Jan</v>
      </c>
    </row>
    <row r="163" spans="1:18" x14ac:dyDescent="0.35">
      <c r="A163" t="s">
        <v>564</v>
      </c>
      <c r="B163" s="1" t="s">
        <v>565</v>
      </c>
      <c r="C163" s="1" t="s">
        <v>566</v>
      </c>
      <c r="D163" s="1">
        <f t="shared" si="6"/>
        <v>2</v>
      </c>
      <c r="E163" t="s">
        <v>30</v>
      </c>
      <c r="F163" t="s">
        <v>19</v>
      </c>
      <c r="G163" t="s">
        <v>20</v>
      </c>
      <c r="H163" t="s">
        <v>21</v>
      </c>
      <c r="I163" t="s">
        <v>22</v>
      </c>
      <c r="J163" t="s">
        <v>73</v>
      </c>
      <c r="K163" t="s">
        <v>32</v>
      </c>
      <c r="L163" t="s">
        <v>61</v>
      </c>
      <c r="M163" t="s">
        <v>354</v>
      </c>
      <c r="N163">
        <v>274.58</v>
      </c>
      <c r="O163">
        <v>10</v>
      </c>
      <c r="P163">
        <v>311.36</v>
      </c>
      <c r="Q163">
        <f t="shared" si="7"/>
        <v>2021</v>
      </c>
      <c r="R163" t="str">
        <f t="shared" si="8"/>
        <v>Oct</v>
      </c>
    </row>
    <row r="164" spans="1:18" x14ac:dyDescent="0.35">
      <c r="A164" t="s">
        <v>567</v>
      </c>
      <c r="B164" s="1" t="s">
        <v>568</v>
      </c>
      <c r="C164" s="1" t="s">
        <v>77</v>
      </c>
      <c r="D164" s="1">
        <f t="shared" si="6"/>
        <v>2</v>
      </c>
      <c r="E164" t="s">
        <v>30</v>
      </c>
      <c r="F164" t="s">
        <v>72</v>
      </c>
      <c r="G164" t="s">
        <v>20</v>
      </c>
      <c r="H164" t="s">
        <v>53</v>
      </c>
      <c r="I164" t="s">
        <v>54</v>
      </c>
      <c r="J164" t="s">
        <v>41</v>
      </c>
      <c r="K164" t="s">
        <v>24</v>
      </c>
      <c r="L164" t="s">
        <v>90</v>
      </c>
      <c r="M164" t="s">
        <v>569</v>
      </c>
      <c r="N164">
        <v>706.98</v>
      </c>
      <c r="O164">
        <v>7</v>
      </c>
      <c r="P164">
        <v>-59.48</v>
      </c>
      <c r="Q164">
        <f t="shared" si="7"/>
        <v>2021</v>
      </c>
      <c r="R164" t="str">
        <f t="shared" si="8"/>
        <v>Aug</v>
      </c>
    </row>
    <row r="165" spans="1:18" x14ac:dyDescent="0.35">
      <c r="A165" t="s">
        <v>570</v>
      </c>
      <c r="B165" s="1" t="s">
        <v>203</v>
      </c>
      <c r="C165" s="1" t="s">
        <v>322</v>
      </c>
      <c r="D165" s="1">
        <f t="shared" si="6"/>
        <v>1</v>
      </c>
      <c r="E165" t="s">
        <v>115</v>
      </c>
      <c r="F165" t="s">
        <v>72</v>
      </c>
      <c r="G165" t="s">
        <v>20</v>
      </c>
      <c r="H165" t="s">
        <v>47</v>
      </c>
      <c r="I165" t="s">
        <v>48</v>
      </c>
      <c r="J165" t="s">
        <v>73</v>
      </c>
      <c r="K165" t="s">
        <v>66</v>
      </c>
      <c r="L165" t="s">
        <v>74</v>
      </c>
      <c r="M165" t="s">
        <v>571</v>
      </c>
      <c r="N165">
        <v>869.49</v>
      </c>
      <c r="O165">
        <v>8</v>
      </c>
      <c r="P165">
        <v>-97.84</v>
      </c>
      <c r="Q165">
        <f t="shared" si="7"/>
        <v>2021</v>
      </c>
      <c r="R165" t="str">
        <f t="shared" si="8"/>
        <v>Jan</v>
      </c>
    </row>
    <row r="166" spans="1:18" x14ac:dyDescent="0.35">
      <c r="A166" t="s">
        <v>572</v>
      </c>
      <c r="B166" s="1" t="s">
        <v>573</v>
      </c>
      <c r="C166" s="1" t="s">
        <v>574</v>
      </c>
      <c r="D166" s="1">
        <f t="shared" si="6"/>
        <v>3</v>
      </c>
      <c r="E166" t="s">
        <v>115</v>
      </c>
      <c r="F166" t="s">
        <v>72</v>
      </c>
      <c r="G166" t="s">
        <v>20</v>
      </c>
      <c r="H166" t="s">
        <v>85</v>
      </c>
      <c r="I166" t="s">
        <v>85</v>
      </c>
      <c r="J166" t="s">
        <v>79</v>
      </c>
      <c r="K166" t="s">
        <v>66</v>
      </c>
      <c r="L166" t="s">
        <v>67</v>
      </c>
      <c r="M166" t="s">
        <v>575</v>
      </c>
      <c r="N166">
        <v>149.18</v>
      </c>
      <c r="O166">
        <v>7</v>
      </c>
      <c r="P166">
        <v>653.91999999999996</v>
      </c>
      <c r="Q166">
        <f t="shared" si="7"/>
        <v>2021</v>
      </c>
      <c r="R166" t="str">
        <f t="shared" si="8"/>
        <v>Dec</v>
      </c>
    </row>
    <row r="167" spans="1:18" x14ac:dyDescent="0.35">
      <c r="A167" t="s">
        <v>576</v>
      </c>
      <c r="B167" s="1" t="s">
        <v>176</v>
      </c>
      <c r="C167" s="1" t="s">
        <v>577</v>
      </c>
      <c r="D167" s="1">
        <f t="shared" si="6"/>
        <v>1</v>
      </c>
      <c r="E167" t="s">
        <v>60</v>
      </c>
      <c r="F167" t="s">
        <v>19</v>
      </c>
      <c r="G167" t="s">
        <v>20</v>
      </c>
      <c r="H167" t="s">
        <v>85</v>
      </c>
      <c r="I167" t="s">
        <v>85</v>
      </c>
      <c r="J167" t="s">
        <v>73</v>
      </c>
      <c r="K167" t="s">
        <v>24</v>
      </c>
      <c r="L167" t="s">
        <v>90</v>
      </c>
      <c r="M167" t="s">
        <v>578</v>
      </c>
      <c r="N167">
        <v>529.26</v>
      </c>
      <c r="O167">
        <v>8</v>
      </c>
      <c r="P167">
        <v>643.05999999999995</v>
      </c>
      <c r="Q167">
        <f t="shared" si="7"/>
        <v>2021</v>
      </c>
      <c r="R167" t="str">
        <f t="shared" si="8"/>
        <v>Mar</v>
      </c>
    </row>
    <row r="168" spans="1:18" x14ac:dyDescent="0.35">
      <c r="A168" t="s">
        <v>579</v>
      </c>
      <c r="B168" s="1" t="s">
        <v>292</v>
      </c>
      <c r="C168" s="1" t="s">
        <v>293</v>
      </c>
      <c r="D168" s="1">
        <f t="shared" si="6"/>
        <v>5</v>
      </c>
      <c r="E168" t="s">
        <v>18</v>
      </c>
      <c r="F168" t="s">
        <v>31</v>
      </c>
      <c r="G168" t="s">
        <v>20</v>
      </c>
      <c r="H168" t="s">
        <v>47</v>
      </c>
      <c r="I168" t="s">
        <v>48</v>
      </c>
      <c r="J168" t="s">
        <v>73</v>
      </c>
      <c r="K168" t="s">
        <v>32</v>
      </c>
      <c r="L168" t="s">
        <v>55</v>
      </c>
      <c r="M168" t="s">
        <v>580</v>
      </c>
      <c r="N168">
        <v>990.67</v>
      </c>
      <c r="O168">
        <v>4</v>
      </c>
      <c r="P168">
        <v>160.18</v>
      </c>
      <c r="Q168">
        <f t="shared" si="7"/>
        <v>2021</v>
      </c>
      <c r="R168" t="str">
        <f t="shared" si="8"/>
        <v>Jun</v>
      </c>
    </row>
    <row r="169" spans="1:18" x14ac:dyDescent="0.35">
      <c r="A169" t="s">
        <v>581</v>
      </c>
      <c r="B169" s="1" t="s">
        <v>582</v>
      </c>
      <c r="C169" s="1" t="s">
        <v>453</v>
      </c>
      <c r="D169" s="1">
        <f t="shared" si="6"/>
        <v>3</v>
      </c>
      <c r="E169" t="s">
        <v>18</v>
      </c>
      <c r="F169" t="s">
        <v>19</v>
      </c>
      <c r="G169" t="s">
        <v>20</v>
      </c>
      <c r="H169" t="s">
        <v>53</v>
      </c>
      <c r="I169" t="s">
        <v>54</v>
      </c>
      <c r="J169" t="s">
        <v>79</v>
      </c>
      <c r="K169" t="s">
        <v>32</v>
      </c>
      <c r="L169" t="s">
        <v>33</v>
      </c>
      <c r="M169" t="s">
        <v>208</v>
      </c>
      <c r="N169">
        <v>1730.66</v>
      </c>
      <c r="O169">
        <v>6</v>
      </c>
      <c r="P169">
        <v>142.27000000000001</v>
      </c>
      <c r="Q169">
        <f t="shared" si="7"/>
        <v>2021</v>
      </c>
      <c r="R169" t="str">
        <f t="shared" si="8"/>
        <v>Feb</v>
      </c>
    </row>
    <row r="170" spans="1:18" x14ac:dyDescent="0.35">
      <c r="A170" t="s">
        <v>583</v>
      </c>
      <c r="B170" s="1" t="s">
        <v>584</v>
      </c>
      <c r="C170" s="1" t="s">
        <v>462</v>
      </c>
      <c r="D170" s="1">
        <f t="shared" si="6"/>
        <v>4</v>
      </c>
      <c r="E170" t="s">
        <v>30</v>
      </c>
      <c r="F170" t="s">
        <v>19</v>
      </c>
      <c r="G170" t="s">
        <v>20</v>
      </c>
      <c r="H170" t="s">
        <v>85</v>
      </c>
      <c r="I170" t="s">
        <v>85</v>
      </c>
      <c r="J170" t="s">
        <v>41</v>
      </c>
      <c r="K170" t="s">
        <v>66</v>
      </c>
      <c r="L170" t="s">
        <v>80</v>
      </c>
      <c r="M170" t="s">
        <v>585</v>
      </c>
      <c r="N170">
        <v>755.27</v>
      </c>
      <c r="O170">
        <v>8</v>
      </c>
      <c r="P170">
        <v>129.15</v>
      </c>
      <c r="Q170">
        <f t="shared" si="7"/>
        <v>2021</v>
      </c>
      <c r="R170" t="str">
        <f t="shared" si="8"/>
        <v>Jul</v>
      </c>
    </row>
    <row r="171" spans="1:18" x14ac:dyDescent="0.35">
      <c r="A171" t="s">
        <v>586</v>
      </c>
      <c r="B171" s="1" t="s">
        <v>587</v>
      </c>
      <c r="C171" s="1" t="s">
        <v>491</v>
      </c>
      <c r="D171" s="1">
        <f t="shared" si="6"/>
        <v>3</v>
      </c>
      <c r="E171" t="s">
        <v>18</v>
      </c>
      <c r="F171" t="s">
        <v>19</v>
      </c>
      <c r="G171" t="s">
        <v>20</v>
      </c>
      <c r="H171" t="s">
        <v>47</v>
      </c>
      <c r="I171" t="s">
        <v>48</v>
      </c>
      <c r="J171" t="s">
        <v>23</v>
      </c>
      <c r="K171" t="s">
        <v>66</v>
      </c>
      <c r="L171" t="s">
        <v>80</v>
      </c>
      <c r="M171" t="s">
        <v>161</v>
      </c>
      <c r="N171">
        <v>950.59</v>
      </c>
      <c r="O171">
        <v>5</v>
      </c>
      <c r="P171">
        <v>177.13</v>
      </c>
      <c r="Q171">
        <f t="shared" si="7"/>
        <v>2021</v>
      </c>
      <c r="R171" t="str">
        <f t="shared" si="8"/>
        <v>May</v>
      </c>
    </row>
    <row r="172" spans="1:18" x14ac:dyDescent="0.35">
      <c r="A172" t="s">
        <v>588</v>
      </c>
      <c r="B172" s="1" t="s">
        <v>138</v>
      </c>
      <c r="C172" s="1" t="s">
        <v>199</v>
      </c>
      <c r="D172" s="1">
        <f t="shared" si="6"/>
        <v>5</v>
      </c>
      <c r="E172" t="s">
        <v>38</v>
      </c>
      <c r="F172" t="s">
        <v>31</v>
      </c>
      <c r="G172" t="s">
        <v>20</v>
      </c>
      <c r="H172" t="s">
        <v>85</v>
      </c>
      <c r="I172" t="s">
        <v>85</v>
      </c>
      <c r="J172" t="s">
        <v>41</v>
      </c>
      <c r="K172" t="s">
        <v>32</v>
      </c>
      <c r="L172" t="s">
        <v>33</v>
      </c>
      <c r="M172" t="s">
        <v>589</v>
      </c>
      <c r="N172">
        <v>163.57</v>
      </c>
      <c r="O172">
        <v>10</v>
      </c>
      <c r="P172">
        <v>488.43</v>
      </c>
      <c r="Q172">
        <f t="shared" si="7"/>
        <v>2021</v>
      </c>
      <c r="R172" t="str">
        <f t="shared" si="8"/>
        <v>Jun</v>
      </c>
    </row>
    <row r="173" spans="1:18" x14ac:dyDescent="0.35">
      <c r="A173" t="s">
        <v>590</v>
      </c>
      <c r="B173" s="1" t="s">
        <v>423</v>
      </c>
      <c r="C173" s="1" t="s">
        <v>313</v>
      </c>
      <c r="D173" s="1">
        <f t="shared" si="6"/>
        <v>3</v>
      </c>
      <c r="E173" t="s">
        <v>38</v>
      </c>
      <c r="F173" t="s">
        <v>31</v>
      </c>
      <c r="G173" t="s">
        <v>20</v>
      </c>
      <c r="H173" t="s">
        <v>53</v>
      </c>
      <c r="I173" t="s">
        <v>54</v>
      </c>
      <c r="J173" t="s">
        <v>41</v>
      </c>
      <c r="K173" t="s">
        <v>32</v>
      </c>
      <c r="L173" t="s">
        <v>61</v>
      </c>
      <c r="M173" t="s">
        <v>169</v>
      </c>
      <c r="N173">
        <v>1925.97</v>
      </c>
      <c r="O173">
        <v>1</v>
      </c>
      <c r="P173">
        <v>476.41</v>
      </c>
      <c r="Q173">
        <f t="shared" si="7"/>
        <v>2021</v>
      </c>
      <c r="R173" t="str">
        <f t="shared" si="8"/>
        <v>Jan</v>
      </c>
    </row>
    <row r="174" spans="1:18" x14ac:dyDescent="0.35">
      <c r="A174" t="s">
        <v>591</v>
      </c>
      <c r="B174" s="1" t="s">
        <v>460</v>
      </c>
      <c r="C174" s="1" t="s">
        <v>131</v>
      </c>
      <c r="D174" s="1">
        <f t="shared" si="6"/>
        <v>2</v>
      </c>
      <c r="E174" t="s">
        <v>115</v>
      </c>
      <c r="F174" t="s">
        <v>19</v>
      </c>
      <c r="G174" t="s">
        <v>20</v>
      </c>
      <c r="H174" t="s">
        <v>39</v>
      </c>
      <c r="I174" t="s">
        <v>40</v>
      </c>
      <c r="J174" t="s">
        <v>41</v>
      </c>
      <c r="K174" t="s">
        <v>24</v>
      </c>
      <c r="L174" t="s">
        <v>25</v>
      </c>
      <c r="M174" t="s">
        <v>592</v>
      </c>
      <c r="N174">
        <v>370.24</v>
      </c>
      <c r="O174">
        <v>8</v>
      </c>
      <c r="P174">
        <v>317.01</v>
      </c>
      <c r="Q174">
        <f t="shared" si="7"/>
        <v>2021</v>
      </c>
      <c r="R174" t="str">
        <f t="shared" si="8"/>
        <v>Jul</v>
      </c>
    </row>
    <row r="175" spans="1:18" x14ac:dyDescent="0.35">
      <c r="A175" t="s">
        <v>593</v>
      </c>
      <c r="B175" s="1" t="s">
        <v>574</v>
      </c>
      <c r="C175" s="1" t="s">
        <v>306</v>
      </c>
      <c r="D175" s="1">
        <f t="shared" si="6"/>
        <v>3</v>
      </c>
      <c r="E175" t="s">
        <v>18</v>
      </c>
      <c r="F175" t="s">
        <v>72</v>
      </c>
      <c r="G175" t="s">
        <v>20</v>
      </c>
      <c r="H175" t="s">
        <v>21</v>
      </c>
      <c r="I175" t="s">
        <v>22</v>
      </c>
      <c r="J175" t="s">
        <v>73</v>
      </c>
      <c r="K175" t="s">
        <v>66</v>
      </c>
      <c r="L175" t="s">
        <v>80</v>
      </c>
      <c r="M175" t="s">
        <v>436</v>
      </c>
      <c r="N175">
        <v>1523.87</v>
      </c>
      <c r="O175">
        <v>10</v>
      </c>
      <c r="P175">
        <v>505.52</v>
      </c>
      <c r="Q175">
        <f t="shared" si="7"/>
        <v>2021</v>
      </c>
      <c r="R175" t="str">
        <f t="shared" si="8"/>
        <v>Dec</v>
      </c>
    </row>
    <row r="176" spans="1:18" x14ac:dyDescent="0.35">
      <c r="A176" t="s">
        <v>594</v>
      </c>
      <c r="B176" s="1" t="s">
        <v>403</v>
      </c>
      <c r="C176" s="1" t="s">
        <v>595</v>
      </c>
      <c r="D176" s="1">
        <f t="shared" si="6"/>
        <v>3</v>
      </c>
      <c r="E176" t="s">
        <v>60</v>
      </c>
      <c r="F176" t="s">
        <v>19</v>
      </c>
      <c r="G176" t="s">
        <v>20</v>
      </c>
      <c r="H176" t="s">
        <v>85</v>
      </c>
      <c r="I176" t="s">
        <v>85</v>
      </c>
      <c r="J176" t="s">
        <v>79</v>
      </c>
      <c r="K176" t="s">
        <v>66</v>
      </c>
      <c r="L176" t="s">
        <v>67</v>
      </c>
      <c r="M176" t="s">
        <v>246</v>
      </c>
      <c r="N176">
        <v>259.87</v>
      </c>
      <c r="O176">
        <v>6</v>
      </c>
      <c r="P176">
        <v>645.46</v>
      </c>
      <c r="Q176">
        <f t="shared" si="7"/>
        <v>2021</v>
      </c>
      <c r="R176" t="str">
        <f t="shared" si="8"/>
        <v>Apr</v>
      </c>
    </row>
    <row r="177" spans="1:18" x14ac:dyDescent="0.35">
      <c r="A177" t="s">
        <v>596</v>
      </c>
      <c r="B177" s="1" t="s">
        <v>195</v>
      </c>
      <c r="C177" s="1" t="s">
        <v>260</v>
      </c>
      <c r="D177" s="1">
        <f t="shared" si="6"/>
        <v>5</v>
      </c>
      <c r="E177" t="s">
        <v>38</v>
      </c>
      <c r="F177" t="s">
        <v>19</v>
      </c>
      <c r="G177" t="s">
        <v>20</v>
      </c>
      <c r="H177" t="s">
        <v>21</v>
      </c>
      <c r="I177" t="s">
        <v>22</v>
      </c>
      <c r="J177" t="s">
        <v>79</v>
      </c>
      <c r="K177" t="s">
        <v>24</v>
      </c>
      <c r="L177" t="s">
        <v>25</v>
      </c>
      <c r="M177" t="s">
        <v>597</v>
      </c>
      <c r="N177">
        <v>742.34</v>
      </c>
      <c r="O177">
        <v>9</v>
      </c>
      <c r="P177">
        <v>524.82000000000005</v>
      </c>
      <c r="Q177">
        <f t="shared" si="7"/>
        <v>2021</v>
      </c>
      <c r="R177" t="str">
        <f t="shared" si="8"/>
        <v>Jul</v>
      </c>
    </row>
    <row r="178" spans="1:18" x14ac:dyDescent="0.35">
      <c r="A178" t="s">
        <v>598</v>
      </c>
      <c r="B178" s="1" t="s">
        <v>306</v>
      </c>
      <c r="C178" s="1" t="s">
        <v>504</v>
      </c>
      <c r="D178" s="1">
        <f t="shared" si="6"/>
        <v>4</v>
      </c>
      <c r="E178" t="s">
        <v>60</v>
      </c>
      <c r="F178" t="s">
        <v>31</v>
      </c>
      <c r="G178" t="s">
        <v>20</v>
      </c>
      <c r="H178" t="s">
        <v>21</v>
      </c>
      <c r="I178" t="s">
        <v>22</v>
      </c>
      <c r="J178" t="s">
        <v>41</v>
      </c>
      <c r="K178" t="s">
        <v>24</v>
      </c>
      <c r="L178" t="s">
        <v>25</v>
      </c>
      <c r="M178" t="s">
        <v>599</v>
      </c>
      <c r="N178">
        <v>587.38</v>
      </c>
      <c r="O178">
        <v>8</v>
      </c>
      <c r="P178">
        <v>104.49</v>
      </c>
      <c r="Q178">
        <f t="shared" si="7"/>
        <v>2021</v>
      </c>
      <c r="R178" t="str">
        <f t="shared" si="8"/>
        <v>Dec</v>
      </c>
    </row>
    <row r="179" spans="1:18" x14ac:dyDescent="0.35">
      <c r="A179" t="s">
        <v>600</v>
      </c>
      <c r="B179" s="1" t="s">
        <v>601</v>
      </c>
      <c r="C179" s="1" t="s">
        <v>602</v>
      </c>
      <c r="D179" s="1">
        <f t="shared" si="6"/>
        <v>4</v>
      </c>
      <c r="E179" t="s">
        <v>60</v>
      </c>
      <c r="F179" t="s">
        <v>31</v>
      </c>
      <c r="G179" t="s">
        <v>20</v>
      </c>
      <c r="H179" t="s">
        <v>39</v>
      </c>
      <c r="I179" t="s">
        <v>40</v>
      </c>
      <c r="J179" t="s">
        <v>23</v>
      </c>
      <c r="K179" t="s">
        <v>32</v>
      </c>
      <c r="L179" t="s">
        <v>61</v>
      </c>
      <c r="M179" t="s">
        <v>603</v>
      </c>
      <c r="N179">
        <v>1464.34</v>
      </c>
      <c r="O179">
        <v>9</v>
      </c>
      <c r="P179">
        <v>384.55</v>
      </c>
      <c r="Q179">
        <f t="shared" si="7"/>
        <v>2022</v>
      </c>
      <c r="R179" t="str">
        <f t="shared" si="8"/>
        <v>Jan</v>
      </c>
    </row>
    <row r="180" spans="1:18" x14ac:dyDescent="0.35">
      <c r="A180" t="s">
        <v>604</v>
      </c>
      <c r="B180" s="1" t="s">
        <v>605</v>
      </c>
      <c r="C180" s="1" t="s">
        <v>279</v>
      </c>
      <c r="D180" s="1">
        <f t="shared" si="6"/>
        <v>2</v>
      </c>
      <c r="E180" t="s">
        <v>30</v>
      </c>
      <c r="F180" t="s">
        <v>72</v>
      </c>
      <c r="G180" t="s">
        <v>20</v>
      </c>
      <c r="H180" t="s">
        <v>47</v>
      </c>
      <c r="I180" t="s">
        <v>48</v>
      </c>
      <c r="J180" t="s">
        <v>73</v>
      </c>
      <c r="K180" t="s">
        <v>66</v>
      </c>
      <c r="L180" t="s">
        <v>67</v>
      </c>
      <c r="M180" t="s">
        <v>606</v>
      </c>
      <c r="N180">
        <v>1760.67</v>
      </c>
      <c r="O180">
        <v>4</v>
      </c>
      <c r="P180">
        <v>117.93</v>
      </c>
      <c r="Q180">
        <f t="shared" si="7"/>
        <v>2021</v>
      </c>
      <c r="R180" t="str">
        <f t="shared" si="8"/>
        <v>Apr</v>
      </c>
    </row>
    <row r="181" spans="1:18" x14ac:dyDescent="0.35">
      <c r="A181" t="s">
        <v>607</v>
      </c>
      <c r="B181" s="1" t="s">
        <v>218</v>
      </c>
      <c r="C181" s="1" t="s">
        <v>468</v>
      </c>
      <c r="D181" s="1">
        <f t="shared" si="6"/>
        <v>5</v>
      </c>
      <c r="E181" t="s">
        <v>38</v>
      </c>
      <c r="F181" t="s">
        <v>72</v>
      </c>
      <c r="G181" t="s">
        <v>20</v>
      </c>
      <c r="H181" t="s">
        <v>85</v>
      </c>
      <c r="I181" t="s">
        <v>85</v>
      </c>
      <c r="J181" t="s">
        <v>23</v>
      </c>
      <c r="K181" t="s">
        <v>32</v>
      </c>
      <c r="L181" t="s">
        <v>61</v>
      </c>
      <c r="M181" t="s">
        <v>173</v>
      </c>
      <c r="N181">
        <v>1075.3800000000001</v>
      </c>
      <c r="O181">
        <v>6</v>
      </c>
      <c r="P181">
        <v>112.15</v>
      </c>
      <c r="Q181">
        <f t="shared" si="7"/>
        <v>2021</v>
      </c>
      <c r="R181" t="str">
        <f t="shared" si="8"/>
        <v>Oct</v>
      </c>
    </row>
    <row r="182" spans="1:18" x14ac:dyDescent="0.35">
      <c r="A182" t="s">
        <v>608</v>
      </c>
      <c r="B182" s="1" t="s">
        <v>609</v>
      </c>
      <c r="C182" s="1" t="s">
        <v>610</v>
      </c>
      <c r="D182" s="1">
        <f t="shared" si="6"/>
        <v>4</v>
      </c>
      <c r="E182" t="s">
        <v>60</v>
      </c>
      <c r="F182" t="s">
        <v>19</v>
      </c>
      <c r="G182" t="s">
        <v>20</v>
      </c>
      <c r="H182" t="s">
        <v>85</v>
      </c>
      <c r="I182" t="s">
        <v>85</v>
      </c>
      <c r="J182" t="s">
        <v>79</v>
      </c>
      <c r="K182" t="s">
        <v>32</v>
      </c>
      <c r="L182" t="s">
        <v>33</v>
      </c>
      <c r="M182" t="s">
        <v>140</v>
      </c>
      <c r="N182">
        <v>626.08000000000004</v>
      </c>
      <c r="O182">
        <v>10</v>
      </c>
      <c r="P182">
        <v>427.85</v>
      </c>
      <c r="Q182">
        <f t="shared" si="7"/>
        <v>2021</v>
      </c>
      <c r="R182" t="str">
        <f t="shared" si="8"/>
        <v>Mar</v>
      </c>
    </row>
    <row r="183" spans="1:18" x14ac:dyDescent="0.35">
      <c r="A183" t="s">
        <v>611</v>
      </c>
      <c r="B183" s="1" t="s">
        <v>612</v>
      </c>
      <c r="C183" s="1" t="s">
        <v>613</v>
      </c>
      <c r="D183" s="1">
        <f t="shared" si="6"/>
        <v>1</v>
      </c>
      <c r="E183" t="s">
        <v>115</v>
      </c>
      <c r="F183" t="s">
        <v>31</v>
      </c>
      <c r="G183" t="s">
        <v>20</v>
      </c>
      <c r="H183" t="s">
        <v>21</v>
      </c>
      <c r="I183" t="s">
        <v>22</v>
      </c>
      <c r="J183" t="s">
        <v>79</v>
      </c>
      <c r="K183" t="s">
        <v>66</v>
      </c>
      <c r="L183" t="s">
        <v>67</v>
      </c>
      <c r="M183" t="s">
        <v>614</v>
      </c>
      <c r="N183">
        <v>1015.85</v>
      </c>
      <c r="O183">
        <v>10</v>
      </c>
      <c r="P183">
        <v>652.99</v>
      </c>
      <c r="Q183">
        <f t="shared" si="7"/>
        <v>2021</v>
      </c>
      <c r="R183" t="str">
        <f t="shared" si="8"/>
        <v>Jul</v>
      </c>
    </row>
    <row r="184" spans="1:18" x14ac:dyDescent="0.35">
      <c r="A184" t="s">
        <v>615</v>
      </c>
      <c r="B184" s="1" t="s">
        <v>127</v>
      </c>
      <c r="C184" s="1" t="s">
        <v>616</v>
      </c>
      <c r="D184" s="1">
        <f t="shared" si="6"/>
        <v>2</v>
      </c>
      <c r="E184" t="s">
        <v>38</v>
      </c>
      <c r="F184" t="s">
        <v>19</v>
      </c>
      <c r="G184" t="s">
        <v>20</v>
      </c>
      <c r="H184" t="s">
        <v>53</v>
      </c>
      <c r="I184" t="s">
        <v>54</v>
      </c>
      <c r="J184" t="s">
        <v>79</v>
      </c>
      <c r="K184" t="s">
        <v>32</v>
      </c>
      <c r="L184" t="s">
        <v>33</v>
      </c>
      <c r="M184" t="s">
        <v>617</v>
      </c>
      <c r="N184">
        <v>369.23</v>
      </c>
      <c r="O184">
        <v>7</v>
      </c>
      <c r="P184">
        <v>500.63</v>
      </c>
      <c r="Q184">
        <f t="shared" si="7"/>
        <v>2021</v>
      </c>
      <c r="R184" t="str">
        <f t="shared" si="8"/>
        <v>Apr</v>
      </c>
    </row>
    <row r="185" spans="1:18" x14ac:dyDescent="0.35">
      <c r="A185" t="s">
        <v>618</v>
      </c>
      <c r="B185" s="1" t="s">
        <v>51</v>
      </c>
      <c r="C185" s="1" t="s">
        <v>619</v>
      </c>
      <c r="D185" s="1">
        <f t="shared" si="6"/>
        <v>4</v>
      </c>
      <c r="E185" t="s">
        <v>60</v>
      </c>
      <c r="F185" t="s">
        <v>19</v>
      </c>
      <c r="G185" t="s">
        <v>20</v>
      </c>
      <c r="H185" t="s">
        <v>85</v>
      </c>
      <c r="I185" t="s">
        <v>85</v>
      </c>
      <c r="J185" t="s">
        <v>41</v>
      </c>
      <c r="K185" t="s">
        <v>24</v>
      </c>
      <c r="L185" t="s">
        <v>90</v>
      </c>
      <c r="M185" t="s">
        <v>394</v>
      </c>
      <c r="N185">
        <v>705</v>
      </c>
      <c r="O185">
        <v>3</v>
      </c>
      <c r="P185">
        <v>290.97000000000003</v>
      </c>
      <c r="Q185">
        <f t="shared" si="7"/>
        <v>2021</v>
      </c>
      <c r="R185" t="str">
        <f t="shared" si="8"/>
        <v>Oct</v>
      </c>
    </row>
    <row r="186" spans="1:18" x14ac:dyDescent="0.35">
      <c r="A186" t="s">
        <v>620</v>
      </c>
      <c r="B186" s="1" t="s">
        <v>468</v>
      </c>
      <c r="C186" s="1" t="s">
        <v>414</v>
      </c>
      <c r="D186" s="1">
        <f t="shared" si="6"/>
        <v>2</v>
      </c>
      <c r="E186" t="s">
        <v>115</v>
      </c>
      <c r="F186" t="s">
        <v>72</v>
      </c>
      <c r="G186" t="s">
        <v>20</v>
      </c>
      <c r="H186" t="s">
        <v>21</v>
      </c>
      <c r="I186" t="s">
        <v>22</v>
      </c>
      <c r="J186" t="s">
        <v>79</v>
      </c>
      <c r="K186" t="s">
        <v>32</v>
      </c>
      <c r="L186" t="s">
        <v>55</v>
      </c>
      <c r="M186" t="s">
        <v>242</v>
      </c>
      <c r="N186">
        <v>739.41</v>
      </c>
      <c r="O186">
        <v>7</v>
      </c>
      <c r="P186">
        <v>70.67</v>
      </c>
      <c r="Q186">
        <f t="shared" si="7"/>
        <v>2021</v>
      </c>
      <c r="R186" t="str">
        <f t="shared" si="8"/>
        <v>Oct</v>
      </c>
    </row>
    <row r="187" spans="1:18" x14ac:dyDescent="0.35">
      <c r="A187" t="s">
        <v>621</v>
      </c>
      <c r="B187" s="1" t="s">
        <v>622</v>
      </c>
      <c r="C187" s="1" t="s">
        <v>623</v>
      </c>
      <c r="D187" s="1">
        <f t="shared" si="6"/>
        <v>4</v>
      </c>
      <c r="E187" t="s">
        <v>115</v>
      </c>
      <c r="F187" t="s">
        <v>72</v>
      </c>
      <c r="G187" t="s">
        <v>20</v>
      </c>
      <c r="H187" t="s">
        <v>85</v>
      </c>
      <c r="I187" t="s">
        <v>85</v>
      </c>
      <c r="J187" t="s">
        <v>23</v>
      </c>
      <c r="K187" t="s">
        <v>24</v>
      </c>
      <c r="L187" t="s">
        <v>25</v>
      </c>
      <c r="M187" t="s">
        <v>144</v>
      </c>
      <c r="N187">
        <v>1580.47</v>
      </c>
      <c r="O187">
        <v>3</v>
      </c>
      <c r="P187">
        <v>640.89</v>
      </c>
      <c r="Q187">
        <f t="shared" si="7"/>
        <v>2021</v>
      </c>
      <c r="R187" t="str">
        <f t="shared" si="8"/>
        <v>Jul</v>
      </c>
    </row>
    <row r="188" spans="1:18" x14ac:dyDescent="0.35">
      <c r="A188" t="s">
        <v>624</v>
      </c>
      <c r="B188" s="1" t="s">
        <v>625</v>
      </c>
      <c r="C188" s="1" t="s">
        <v>175</v>
      </c>
      <c r="D188" s="1">
        <f t="shared" si="6"/>
        <v>2</v>
      </c>
      <c r="E188" t="s">
        <v>18</v>
      </c>
      <c r="F188" t="s">
        <v>72</v>
      </c>
      <c r="G188" t="s">
        <v>20</v>
      </c>
      <c r="H188" t="s">
        <v>21</v>
      </c>
      <c r="I188" t="s">
        <v>22</v>
      </c>
      <c r="J188" t="s">
        <v>73</v>
      </c>
      <c r="K188" t="s">
        <v>66</v>
      </c>
      <c r="L188" t="s">
        <v>74</v>
      </c>
      <c r="M188" t="s">
        <v>287</v>
      </c>
      <c r="N188">
        <v>996.97</v>
      </c>
      <c r="O188">
        <v>8</v>
      </c>
      <c r="P188">
        <v>451.41</v>
      </c>
      <c r="Q188">
        <f t="shared" si="7"/>
        <v>2021</v>
      </c>
      <c r="R188" t="str">
        <f t="shared" si="8"/>
        <v>Mar</v>
      </c>
    </row>
    <row r="189" spans="1:18" x14ac:dyDescent="0.35">
      <c r="A189" t="s">
        <v>626</v>
      </c>
      <c r="B189" s="1" t="s">
        <v>17</v>
      </c>
      <c r="C189" s="1" t="s">
        <v>505</v>
      </c>
      <c r="D189" s="1">
        <f t="shared" si="6"/>
        <v>5</v>
      </c>
      <c r="E189" t="s">
        <v>38</v>
      </c>
      <c r="F189" t="s">
        <v>19</v>
      </c>
      <c r="G189" t="s">
        <v>20</v>
      </c>
      <c r="H189" t="s">
        <v>39</v>
      </c>
      <c r="I189" t="s">
        <v>40</v>
      </c>
      <c r="J189" t="s">
        <v>79</v>
      </c>
      <c r="K189" t="s">
        <v>32</v>
      </c>
      <c r="L189" t="s">
        <v>33</v>
      </c>
      <c r="M189" t="s">
        <v>140</v>
      </c>
      <c r="N189">
        <v>1290.01</v>
      </c>
      <c r="O189">
        <v>4</v>
      </c>
      <c r="P189">
        <v>685.06</v>
      </c>
      <c r="Q189">
        <f t="shared" si="7"/>
        <v>2021</v>
      </c>
      <c r="R189" t="str">
        <f t="shared" si="8"/>
        <v>Dec</v>
      </c>
    </row>
    <row r="190" spans="1:18" x14ac:dyDescent="0.35">
      <c r="A190" t="s">
        <v>627</v>
      </c>
      <c r="B190" s="1" t="s">
        <v>263</v>
      </c>
      <c r="C190" s="1" t="s">
        <v>486</v>
      </c>
      <c r="D190" s="1">
        <f t="shared" si="6"/>
        <v>2</v>
      </c>
      <c r="E190" t="s">
        <v>38</v>
      </c>
      <c r="F190" t="s">
        <v>72</v>
      </c>
      <c r="G190" t="s">
        <v>20</v>
      </c>
      <c r="H190" t="s">
        <v>85</v>
      </c>
      <c r="I190" t="s">
        <v>85</v>
      </c>
      <c r="J190" t="s">
        <v>23</v>
      </c>
      <c r="K190" t="s">
        <v>24</v>
      </c>
      <c r="L190" t="s">
        <v>90</v>
      </c>
      <c r="M190" t="s">
        <v>628</v>
      </c>
      <c r="N190">
        <v>913.2</v>
      </c>
      <c r="O190">
        <v>6</v>
      </c>
      <c r="P190">
        <v>651.41</v>
      </c>
      <c r="Q190">
        <f t="shared" si="7"/>
        <v>2021</v>
      </c>
      <c r="R190" t="str">
        <f t="shared" si="8"/>
        <v>Oct</v>
      </c>
    </row>
    <row r="191" spans="1:18" x14ac:dyDescent="0.35">
      <c r="A191" t="s">
        <v>629</v>
      </c>
      <c r="B191" s="1" t="s">
        <v>630</v>
      </c>
      <c r="C191" s="1" t="s">
        <v>631</v>
      </c>
      <c r="D191" s="1">
        <f t="shared" si="6"/>
        <v>5</v>
      </c>
      <c r="E191" t="s">
        <v>18</v>
      </c>
      <c r="F191" t="s">
        <v>72</v>
      </c>
      <c r="G191" t="s">
        <v>20</v>
      </c>
      <c r="H191" t="s">
        <v>47</v>
      </c>
      <c r="I191" t="s">
        <v>48</v>
      </c>
      <c r="J191" t="s">
        <v>79</v>
      </c>
      <c r="K191" t="s">
        <v>32</v>
      </c>
      <c r="L191" t="s">
        <v>55</v>
      </c>
      <c r="M191" t="s">
        <v>494</v>
      </c>
      <c r="N191">
        <v>726.54</v>
      </c>
      <c r="O191">
        <v>5</v>
      </c>
      <c r="P191">
        <v>17</v>
      </c>
      <c r="Q191">
        <f t="shared" si="7"/>
        <v>2021</v>
      </c>
      <c r="R191" t="str">
        <f t="shared" si="8"/>
        <v>May</v>
      </c>
    </row>
    <row r="192" spans="1:18" x14ac:dyDescent="0.35">
      <c r="A192" t="s">
        <v>632</v>
      </c>
      <c r="B192" s="1" t="s">
        <v>498</v>
      </c>
      <c r="C192" s="1" t="s">
        <v>387</v>
      </c>
      <c r="D192" s="1">
        <f t="shared" si="6"/>
        <v>1</v>
      </c>
      <c r="E192" t="s">
        <v>115</v>
      </c>
      <c r="F192" t="s">
        <v>31</v>
      </c>
      <c r="G192" t="s">
        <v>20</v>
      </c>
      <c r="H192" t="s">
        <v>85</v>
      </c>
      <c r="I192" t="s">
        <v>85</v>
      </c>
      <c r="J192" t="s">
        <v>23</v>
      </c>
      <c r="K192" t="s">
        <v>24</v>
      </c>
      <c r="L192" t="s">
        <v>42</v>
      </c>
      <c r="M192" t="s">
        <v>633</v>
      </c>
      <c r="N192">
        <v>1427.63</v>
      </c>
      <c r="O192">
        <v>7</v>
      </c>
      <c r="P192">
        <v>118.01</v>
      </c>
      <c r="Q192">
        <f t="shared" si="7"/>
        <v>2021</v>
      </c>
      <c r="R192" t="str">
        <f t="shared" si="8"/>
        <v>Jul</v>
      </c>
    </row>
    <row r="193" spans="1:18" x14ac:dyDescent="0.35">
      <c r="A193" t="s">
        <v>634</v>
      </c>
      <c r="B193" s="1" t="s">
        <v>635</v>
      </c>
      <c r="C193" s="1" t="s">
        <v>353</v>
      </c>
      <c r="D193" s="1">
        <f t="shared" si="6"/>
        <v>1</v>
      </c>
      <c r="E193" t="s">
        <v>30</v>
      </c>
      <c r="F193" t="s">
        <v>19</v>
      </c>
      <c r="G193" t="s">
        <v>20</v>
      </c>
      <c r="H193" t="s">
        <v>53</v>
      </c>
      <c r="I193" t="s">
        <v>54</v>
      </c>
      <c r="J193" t="s">
        <v>79</v>
      </c>
      <c r="K193" t="s">
        <v>66</v>
      </c>
      <c r="L193" t="s">
        <v>74</v>
      </c>
      <c r="M193" t="s">
        <v>148</v>
      </c>
      <c r="N193">
        <v>1296.02</v>
      </c>
      <c r="O193">
        <v>6</v>
      </c>
      <c r="P193">
        <v>149.32</v>
      </c>
      <c r="Q193">
        <f t="shared" si="7"/>
        <v>2021</v>
      </c>
      <c r="R193" t="str">
        <f t="shared" si="8"/>
        <v>May</v>
      </c>
    </row>
    <row r="194" spans="1:18" x14ac:dyDescent="0.35">
      <c r="A194" t="s">
        <v>636</v>
      </c>
      <c r="B194" s="1" t="s">
        <v>637</v>
      </c>
      <c r="C194" s="1" t="s">
        <v>638</v>
      </c>
      <c r="D194" s="1">
        <f t="shared" si="6"/>
        <v>4</v>
      </c>
      <c r="E194" t="s">
        <v>60</v>
      </c>
      <c r="F194" t="s">
        <v>72</v>
      </c>
      <c r="G194" t="s">
        <v>20</v>
      </c>
      <c r="H194" t="s">
        <v>39</v>
      </c>
      <c r="I194" t="s">
        <v>40</v>
      </c>
      <c r="J194" t="s">
        <v>73</v>
      </c>
      <c r="K194" t="s">
        <v>24</v>
      </c>
      <c r="L194" t="s">
        <v>25</v>
      </c>
      <c r="M194" t="s">
        <v>144</v>
      </c>
      <c r="N194">
        <v>1979.3</v>
      </c>
      <c r="O194">
        <v>1</v>
      </c>
      <c r="P194">
        <v>158.24</v>
      </c>
      <c r="Q194">
        <f t="shared" si="7"/>
        <v>2021</v>
      </c>
      <c r="R194" t="str">
        <f t="shared" si="8"/>
        <v>Feb</v>
      </c>
    </row>
    <row r="195" spans="1:18" x14ac:dyDescent="0.35">
      <c r="A195" t="s">
        <v>639</v>
      </c>
      <c r="B195" s="1" t="s">
        <v>640</v>
      </c>
      <c r="C195" s="1" t="s">
        <v>457</v>
      </c>
      <c r="D195" s="1">
        <f t="shared" ref="D195:D201" si="9">C195-B195</f>
        <v>1</v>
      </c>
      <c r="E195" t="s">
        <v>30</v>
      </c>
      <c r="F195" t="s">
        <v>19</v>
      </c>
      <c r="G195" t="s">
        <v>20</v>
      </c>
      <c r="H195" t="s">
        <v>47</v>
      </c>
      <c r="I195" t="s">
        <v>48</v>
      </c>
      <c r="J195" t="s">
        <v>41</v>
      </c>
      <c r="K195" t="s">
        <v>66</v>
      </c>
      <c r="L195" t="s">
        <v>80</v>
      </c>
      <c r="M195" t="s">
        <v>641</v>
      </c>
      <c r="N195">
        <v>1381.59</v>
      </c>
      <c r="O195">
        <v>5</v>
      </c>
      <c r="P195">
        <v>-107.72</v>
      </c>
      <c r="Q195">
        <f t="shared" ref="Q195:Q201" si="10">YEAR(B195)</f>
        <v>2021</v>
      </c>
      <c r="R195" t="str">
        <f t="shared" ref="R195:R201" si="11">TEXT(B195,"MMM")</f>
        <v>Apr</v>
      </c>
    </row>
    <row r="196" spans="1:18" x14ac:dyDescent="0.35">
      <c r="A196" t="s">
        <v>642</v>
      </c>
      <c r="B196" s="1" t="s">
        <v>619</v>
      </c>
      <c r="C196" s="1" t="s">
        <v>643</v>
      </c>
      <c r="D196" s="1">
        <f t="shared" si="9"/>
        <v>4</v>
      </c>
      <c r="E196" t="s">
        <v>18</v>
      </c>
      <c r="F196" t="s">
        <v>19</v>
      </c>
      <c r="G196" t="s">
        <v>20</v>
      </c>
      <c r="H196" t="s">
        <v>53</v>
      </c>
      <c r="I196" t="s">
        <v>54</v>
      </c>
      <c r="J196" t="s">
        <v>79</v>
      </c>
      <c r="K196" t="s">
        <v>66</v>
      </c>
      <c r="L196" t="s">
        <v>80</v>
      </c>
      <c r="M196" t="s">
        <v>436</v>
      </c>
      <c r="N196">
        <v>1313.7</v>
      </c>
      <c r="O196">
        <v>3</v>
      </c>
      <c r="P196">
        <v>-11.85</v>
      </c>
      <c r="Q196">
        <f t="shared" si="10"/>
        <v>2021</v>
      </c>
      <c r="R196" t="str">
        <f t="shared" si="11"/>
        <v>Nov</v>
      </c>
    </row>
    <row r="197" spans="1:18" x14ac:dyDescent="0.35">
      <c r="A197" t="s">
        <v>644</v>
      </c>
      <c r="B197" s="1" t="s">
        <v>645</v>
      </c>
      <c r="C197" s="1" t="s">
        <v>646</v>
      </c>
      <c r="D197" s="1">
        <f t="shared" si="9"/>
        <v>3</v>
      </c>
      <c r="E197" t="s">
        <v>38</v>
      </c>
      <c r="F197" t="s">
        <v>72</v>
      </c>
      <c r="G197" t="s">
        <v>20</v>
      </c>
      <c r="H197" t="s">
        <v>47</v>
      </c>
      <c r="I197" t="s">
        <v>48</v>
      </c>
      <c r="J197" t="s">
        <v>41</v>
      </c>
      <c r="K197" t="s">
        <v>32</v>
      </c>
      <c r="L197" t="s">
        <v>55</v>
      </c>
      <c r="M197" t="s">
        <v>179</v>
      </c>
      <c r="N197">
        <v>187.18</v>
      </c>
      <c r="O197">
        <v>10</v>
      </c>
      <c r="P197">
        <v>218.25</v>
      </c>
      <c r="Q197">
        <f t="shared" si="10"/>
        <v>2021</v>
      </c>
      <c r="R197" t="str">
        <f t="shared" si="11"/>
        <v>May</v>
      </c>
    </row>
    <row r="198" spans="1:18" x14ac:dyDescent="0.35">
      <c r="A198" t="s">
        <v>647</v>
      </c>
      <c r="B198" s="1" t="s">
        <v>648</v>
      </c>
      <c r="C198" s="1" t="s">
        <v>264</v>
      </c>
      <c r="D198" s="1">
        <f t="shared" si="9"/>
        <v>5</v>
      </c>
      <c r="E198" t="s">
        <v>18</v>
      </c>
      <c r="F198" t="s">
        <v>19</v>
      </c>
      <c r="G198" t="s">
        <v>20</v>
      </c>
      <c r="H198" t="s">
        <v>53</v>
      </c>
      <c r="I198" t="s">
        <v>54</v>
      </c>
      <c r="J198" t="s">
        <v>73</v>
      </c>
      <c r="K198" t="s">
        <v>24</v>
      </c>
      <c r="L198" t="s">
        <v>90</v>
      </c>
      <c r="M198" t="s">
        <v>649</v>
      </c>
      <c r="N198">
        <v>1163.58</v>
      </c>
      <c r="O198">
        <v>7</v>
      </c>
      <c r="P198">
        <v>233.54</v>
      </c>
      <c r="Q198">
        <f t="shared" si="10"/>
        <v>2021</v>
      </c>
      <c r="R198" t="str">
        <f t="shared" si="11"/>
        <v>Oct</v>
      </c>
    </row>
    <row r="199" spans="1:18" x14ac:dyDescent="0.35">
      <c r="A199" t="s">
        <v>650</v>
      </c>
      <c r="B199" s="1" t="s">
        <v>512</v>
      </c>
      <c r="C199" s="1" t="s">
        <v>513</v>
      </c>
      <c r="D199" s="1">
        <f t="shared" si="9"/>
        <v>1</v>
      </c>
      <c r="E199" t="s">
        <v>18</v>
      </c>
      <c r="F199" t="s">
        <v>31</v>
      </c>
      <c r="G199" t="s">
        <v>20</v>
      </c>
      <c r="H199" t="s">
        <v>53</v>
      </c>
      <c r="I199" t="s">
        <v>54</v>
      </c>
      <c r="J199" t="s">
        <v>73</v>
      </c>
      <c r="K199" t="s">
        <v>66</v>
      </c>
      <c r="L199" t="s">
        <v>80</v>
      </c>
      <c r="M199" t="s">
        <v>436</v>
      </c>
      <c r="N199">
        <v>1671.67</v>
      </c>
      <c r="O199">
        <v>3</v>
      </c>
      <c r="P199">
        <v>250.36</v>
      </c>
      <c r="Q199">
        <f t="shared" si="10"/>
        <v>2021</v>
      </c>
      <c r="R199" t="str">
        <f t="shared" si="11"/>
        <v>May</v>
      </c>
    </row>
    <row r="200" spans="1:18" x14ac:dyDescent="0.35">
      <c r="A200" t="s">
        <v>651</v>
      </c>
      <c r="B200" s="1" t="s">
        <v>199</v>
      </c>
      <c r="C200" s="1" t="s">
        <v>282</v>
      </c>
      <c r="D200" s="1">
        <f t="shared" si="9"/>
        <v>3</v>
      </c>
      <c r="E200" t="s">
        <v>30</v>
      </c>
      <c r="F200" t="s">
        <v>31</v>
      </c>
      <c r="G200" t="s">
        <v>20</v>
      </c>
      <c r="H200" t="s">
        <v>39</v>
      </c>
      <c r="I200" t="s">
        <v>40</v>
      </c>
      <c r="J200" t="s">
        <v>23</v>
      </c>
      <c r="K200" t="s">
        <v>32</v>
      </c>
      <c r="L200" t="s">
        <v>61</v>
      </c>
      <c r="M200" t="s">
        <v>652</v>
      </c>
      <c r="N200">
        <v>1310.53</v>
      </c>
      <c r="O200">
        <v>5</v>
      </c>
      <c r="P200">
        <v>439.53</v>
      </c>
      <c r="Q200">
        <f t="shared" si="10"/>
        <v>2021</v>
      </c>
      <c r="R200" t="str">
        <f t="shared" si="11"/>
        <v>Jun</v>
      </c>
    </row>
    <row r="201" spans="1:18" x14ac:dyDescent="0.35">
      <c r="A201" t="s">
        <v>653</v>
      </c>
      <c r="B201" s="1" t="s">
        <v>167</v>
      </c>
      <c r="C201" s="1" t="s">
        <v>524</v>
      </c>
      <c r="D201" s="1">
        <f t="shared" si="9"/>
        <v>3</v>
      </c>
      <c r="E201" t="s">
        <v>115</v>
      </c>
      <c r="F201" t="s">
        <v>72</v>
      </c>
      <c r="G201" t="s">
        <v>20</v>
      </c>
      <c r="H201" t="s">
        <v>85</v>
      </c>
      <c r="I201" t="s">
        <v>85</v>
      </c>
      <c r="J201" t="s">
        <v>79</v>
      </c>
      <c r="K201" t="s">
        <v>24</v>
      </c>
      <c r="L201" t="s">
        <v>25</v>
      </c>
      <c r="M201" t="s">
        <v>654</v>
      </c>
      <c r="N201">
        <v>859.16</v>
      </c>
      <c r="O201">
        <v>7</v>
      </c>
      <c r="P201">
        <v>358.24</v>
      </c>
      <c r="Q201">
        <f t="shared" si="10"/>
        <v>2021</v>
      </c>
      <c r="R201" t="str">
        <f t="shared" si="11"/>
        <v>Oct</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8EDDC-DA7E-4736-B035-309239FBC3ED}">
  <dimension ref="D4"/>
  <sheetViews>
    <sheetView topLeftCell="A9" workbookViewId="0">
      <selection activeCell="L14" sqref="L14"/>
    </sheetView>
  </sheetViews>
  <sheetFormatPr defaultRowHeight="14.5" x14ac:dyDescent="0.35"/>
  <sheetData>
    <row r="4" spans="4:4" x14ac:dyDescent="0.35">
      <c r="D4"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F814-506C-4B14-8CA4-FAE40756DF18}">
  <dimension ref="A3:B14"/>
  <sheetViews>
    <sheetView workbookViewId="0">
      <selection activeCell="D12" sqref="D12"/>
    </sheetView>
  </sheetViews>
  <sheetFormatPr defaultRowHeight="14.5" x14ac:dyDescent="0.35"/>
  <cols>
    <col min="1" max="1" width="19" bestFit="1" customWidth="1"/>
    <col min="2" max="2" width="11.26953125" bestFit="1" customWidth="1"/>
  </cols>
  <sheetData>
    <row r="3" spans="1:2" x14ac:dyDescent="0.35">
      <c r="A3" s="4" t="s">
        <v>658</v>
      </c>
      <c r="B3" t="s">
        <v>661</v>
      </c>
    </row>
    <row r="4" spans="1:2" x14ac:dyDescent="0.35">
      <c r="A4" s="5" t="s">
        <v>436</v>
      </c>
      <c r="B4" s="6">
        <v>5156.8900000000003</v>
      </c>
    </row>
    <row r="5" spans="1:2" x14ac:dyDescent="0.35">
      <c r="A5" s="5" t="s">
        <v>161</v>
      </c>
      <c r="B5" s="6">
        <v>3138.23</v>
      </c>
    </row>
    <row r="6" spans="1:2" x14ac:dyDescent="0.35">
      <c r="A6" s="5" t="s">
        <v>242</v>
      </c>
      <c r="B6" s="6">
        <v>2607.0100000000002</v>
      </c>
    </row>
    <row r="7" spans="1:2" x14ac:dyDescent="0.35">
      <c r="A7" s="5" t="s">
        <v>169</v>
      </c>
      <c r="B7" s="6">
        <v>4846.3900000000003</v>
      </c>
    </row>
    <row r="8" spans="1:2" x14ac:dyDescent="0.35">
      <c r="A8" s="5" t="s">
        <v>173</v>
      </c>
      <c r="B8" s="6">
        <v>2921.91</v>
      </c>
    </row>
    <row r="9" spans="1:2" x14ac:dyDescent="0.35">
      <c r="A9" s="5" t="s">
        <v>144</v>
      </c>
      <c r="B9" s="6">
        <v>7109.9400000000005</v>
      </c>
    </row>
    <row r="10" spans="1:2" x14ac:dyDescent="0.35">
      <c r="A10" s="5" t="s">
        <v>407</v>
      </c>
      <c r="B10" s="6">
        <v>4397.1100000000006</v>
      </c>
    </row>
    <row r="11" spans="1:2" x14ac:dyDescent="0.35">
      <c r="A11" s="5" t="s">
        <v>287</v>
      </c>
      <c r="B11" s="6">
        <v>3149.5699999999997</v>
      </c>
    </row>
    <row r="12" spans="1:2" x14ac:dyDescent="0.35">
      <c r="A12" s="5" t="s">
        <v>148</v>
      </c>
      <c r="B12" s="6">
        <v>2894.34</v>
      </c>
    </row>
    <row r="13" spans="1:2" x14ac:dyDescent="0.35">
      <c r="A13" s="5" t="s">
        <v>140</v>
      </c>
      <c r="B13" s="6">
        <v>2911.04</v>
      </c>
    </row>
    <row r="14" spans="1:2" x14ac:dyDescent="0.35">
      <c r="A14" s="5" t="s">
        <v>660</v>
      </c>
      <c r="B14" s="6">
        <v>39132.43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E5E6-05AB-4D2A-ADAF-F8ECD7AC2190}">
  <dimension ref="A3:B9"/>
  <sheetViews>
    <sheetView workbookViewId="0">
      <selection activeCell="A3" sqref="A3:B9"/>
    </sheetView>
  </sheetViews>
  <sheetFormatPr defaultRowHeight="14.5" x14ac:dyDescent="0.35"/>
  <cols>
    <col min="1" max="1" width="12.36328125" bestFit="1" customWidth="1"/>
    <col min="2" max="2" width="11.26953125" bestFit="1" customWidth="1"/>
  </cols>
  <sheetData>
    <row r="3" spans="1:2" x14ac:dyDescent="0.35">
      <c r="A3" s="4" t="s">
        <v>658</v>
      </c>
      <c r="B3" t="s">
        <v>661</v>
      </c>
    </row>
    <row r="4" spans="1:2" x14ac:dyDescent="0.35">
      <c r="A4" s="5" t="s">
        <v>73</v>
      </c>
      <c r="B4" s="6">
        <v>49442.62</v>
      </c>
    </row>
    <row r="5" spans="1:2" x14ac:dyDescent="0.35">
      <c r="A5" s="5" t="s">
        <v>23</v>
      </c>
      <c r="B5" s="6">
        <v>54793.8</v>
      </c>
    </row>
    <row r="6" spans="1:2" x14ac:dyDescent="0.35">
      <c r="A6" s="5" t="s">
        <v>41</v>
      </c>
      <c r="B6" s="6">
        <v>46802.090000000004</v>
      </c>
    </row>
    <row r="7" spans="1:2" x14ac:dyDescent="0.35">
      <c r="A7" s="5" t="s">
        <v>79</v>
      </c>
      <c r="B7" s="6">
        <v>40267.310000000012</v>
      </c>
    </row>
    <row r="8" spans="1:2" x14ac:dyDescent="0.35">
      <c r="A8" s="5" t="s">
        <v>659</v>
      </c>
      <c r="B8" s="6"/>
    </row>
    <row r="9" spans="1:2" x14ac:dyDescent="0.35">
      <c r="A9" s="5" t="s">
        <v>660</v>
      </c>
      <c r="B9" s="6">
        <v>191305.82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C8298-3963-4B7D-8D22-E511CCC89703}">
  <dimension ref="A3:B14"/>
  <sheetViews>
    <sheetView workbookViewId="0">
      <selection activeCell="A3" sqref="A3:B14"/>
    </sheetView>
  </sheetViews>
  <sheetFormatPr defaultRowHeight="14.5" x14ac:dyDescent="0.35"/>
  <cols>
    <col min="1" max="1" width="12.36328125" bestFit="1" customWidth="1"/>
    <col min="2" max="2" width="11.81640625" bestFit="1" customWidth="1"/>
  </cols>
  <sheetData>
    <row r="3" spans="1:2" x14ac:dyDescent="0.35">
      <c r="A3" s="4" t="s">
        <v>658</v>
      </c>
      <c r="B3" t="s">
        <v>662</v>
      </c>
    </row>
    <row r="4" spans="1:2" x14ac:dyDescent="0.35">
      <c r="A4" s="5" t="s">
        <v>42</v>
      </c>
      <c r="B4" s="6">
        <v>2876.2400000000002</v>
      </c>
    </row>
    <row r="5" spans="1:2" x14ac:dyDescent="0.35">
      <c r="A5" s="5" t="s">
        <v>80</v>
      </c>
      <c r="B5" s="6">
        <v>5227.7299999999996</v>
      </c>
    </row>
    <row r="6" spans="1:2" x14ac:dyDescent="0.35">
      <c r="A6" s="5" t="s">
        <v>55</v>
      </c>
      <c r="B6" s="6">
        <v>5124.0099999999993</v>
      </c>
    </row>
    <row r="7" spans="1:2" x14ac:dyDescent="0.35">
      <c r="A7" s="5" t="s">
        <v>61</v>
      </c>
      <c r="B7" s="6">
        <v>8084.3599999999988</v>
      </c>
    </row>
    <row r="8" spans="1:2" x14ac:dyDescent="0.35">
      <c r="A8" s="5" t="s">
        <v>25</v>
      </c>
      <c r="B8" s="6">
        <v>4654.8999999999996</v>
      </c>
    </row>
    <row r="9" spans="1:2" x14ac:dyDescent="0.35">
      <c r="A9" s="5" t="s">
        <v>67</v>
      </c>
      <c r="B9" s="6">
        <v>8228.1600000000017</v>
      </c>
    </row>
    <row r="10" spans="1:2" x14ac:dyDescent="0.35">
      <c r="A10" s="5" t="s">
        <v>90</v>
      </c>
      <c r="B10" s="6">
        <v>4435.95</v>
      </c>
    </row>
    <row r="11" spans="1:2" x14ac:dyDescent="0.35">
      <c r="A11" s="5" t="s">
        <v>74</v>
      </c>
      <c r="B11" s="6">
        <v>3078.57</v>
      </c>
    </row>
    <row r="12" spans="1:2" x14ac:dyDescent="0.35">
      <c r="A12" s="5" t="s">
        <v>33</v>
      </c>
      <c r="B12" s="6">
        <v>5092.1299999999992</v>
      </c>
    </row>
    <row r="13" spans="1:2" x14ac:dyDescent="0.35">
      <c r="A13" s="5" t="s">
        <v>659</v>
      </c>
      <c r="B13" s="6"/>
    </row>
    <row r="14" spans="1:2" x14ac:dyDescent="0.35">
      <c r="A14" s="5" t="s">
        <v>660</v>
      </c>
      <c r="B14" s="6">
        <v>46802.049999999996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0747-E809-4C78-9B6D-45CE8BF6D632}">
  <dimension ref="A3:B17"/>
  <sheetViews>
    <sheetView workbookViewId="0">
      <selection activeCell="A3" sqref="A3:B17"/>
    </sheetView>
  </sheetViews>
  <sheetFormatPr defaultRowHeight="14.5" x14ac:dyDescent="0.35"/>
  <cols>
    <col min="1" max="1" width="12.36328125" bestFit="1" customWidth="1"/>
    <col min="2" max="2" width="11.26953125" bestFit="1" customWidth="1"/>
  </cols>
  <sheetData>
    <row r="3" spans="1:2" x14ac:dyDescent="0.35">
      <c r="A3" s="4" t="s">
        <v>658</v>
      </c>
      <c r="B3" t="s">
        <v>661</v>
      </c>
    </row>
    <row r="4" spans="1:2" x14ac:dyDescent="0.35">
      <c r="A4" s="5" t="s">
        <v>663</v>
      </c>
      <c r="B4" s="6">
        <v>24114.610000000004</v>
      </c>
    </row>
    <row r="5" spans="1:2" x14ac:dyDescent="0.35">
      <c r="A5" s="5" t="s">
        <v>664</v>
      </c>
      <c r="B5" s="6">
        <v>11117.679999999998</v>
      </c>
    </row>
    <row r="6" spans="1:2" x14ac:dyDescent="0.35">
      <c r="A6" s="5" t="s">
        <v>665</v>
      </c>
      <c r="B6" s="6">
        <v>12364.66</v>
      </c>
    </row>
    <row r="7" spans="1:2" x14ac:dyDescent="0.35">
      <c r="A7" s="5" t="s">
        <v>666</v>
      </c>
      <c r="B7" s="6">
        <v>19369</v>
      </c>
    </row>
    <row r="8" spans="1:2" x14ac:dyDescent="0.35">
      <c r="A8" s="5" t="s">
        <v>667</v>
      </c>
      <c r="B8" s="6">
        <v>12338.050000000001</v>
      </c>
    </row>
    <row r="9" spans="1:2" x14ac:dyDescent="0.35">
      <c r="A9" s="5" t="s">
        <v>668</v>
      </c>
      <c r="B9" s="6">
        <v>15984.51</v>
      </c>
    </row>
    <row r="10" spans="1:2" x14ac:dyDescent="0.35">
      <c r="A10" s="5" t="s">
        <v>669</v>
      </c>
      <c r="B10" s="6">
        <v>19925.280000000002</v>
      </c>
    </row>
    <row r="11" spans="1:2" x14ac:dyDescent="0.35">
      <c r="A11" s="5" t="s">
        <v>670</v>
      </c>
      <c r="B11" s="6">
        <v>15631.899999999998</v>
      </c>
    </row>
    <row r="12" spans="1:2" x14ac:dyDescent="0.35">
      <c r="A12" s="5" t="s">
        <v>671</v>
      </c>
      <c r="B12" s="6">
        <v>8781.82</v>
      </c>
    </row>
    <row r="13" spans="1:2" x14ac:dyDescent="0.35">
      <c r="A13" s="5" t="s">
        <v>672</v>
      </c>
      <c r="B13" s="6">
        <v>18829.460000000003</v>
      </c>
    </row>
    <row r="14" spans="1:2" x14ac:dyDescent="0.35">
      <c r="A14" s="5" t="s">
        <v>673</v>
      </c>
      <c r="B14" s="6">
        <v>18683.500000000004</v>
      </c>
    </row>
    <row r="15" spans="1:2" x14ac:dyDescent="0.35">
      <c r="A15" s="5" t="s">
        <v>674</v>
      </c>
      <c r="B15" s="6">
        <v>14165.350000000002</v>
      </c>
    </row>
    <row r="16" spans="1:2" x14ac:dyDescent="0.35">
      <c r="A16" s="5" t="s">
        <v>659</v>
      </c>
      <c r="B16" s="6"/>
    </row>
    <row r="17" spans="1:2" x14ac:dyDescent="0.35">
      <c r="A17" s="5" t="s">
        <v>660</v>
      </c>
      <c r="B17" s="6">
        <v>191305.81999999998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FFA0-80D1-4FC3-B0E9-18C286F79709}">
  <dimension ref="A3:B7"/>
  <sheetViews>
    <sheetView tabSelected="1" workbookViewId="0">
      <selection activeCell="O7" sqref="O7"/>
    </sheetView>
  </sheetViews>
  <sheetFormatPr defaultRowHeight="14.5" x14ac:dyDescent="0.35"/>
  <cols>
    <col min="1" max="1" width="13.1796875" bestFit="1" customWidth="1"/>
    <col min="2" max="2" width="11.26953125" bestFit="1" customWidth="1"/>
  </cols>
  <sheetData>
    <row r="3" spans="1:2" x14ac:dyDescent="0.35">
      <c r="A3" s="4" t="s">
        <v>658</v>
      </c>
      <c r="B3" t="s">
        <v>661</v>
      </c>
    </row>
    <row r="4" spans="1:2" x14ac:dyDescent="0.35">
      <c r="A4" s="5" t="s">
        <v>32</v>
      </c>
      <c r="B4" s="6">
        <v>21469.239999999998</v>
      </c>
    </row>
    <row r="5" spans="1:2" x14ac:dyDescent="0.35">
      <c r="A5" s="5" t="s">
        <v>66</v>
      </c>
      <c r="B5" s="6">
        <v>17718.18</v>
      </c>
    </row>
    <row r="6" spans="1:2" x14ac:dyDescent="0.35">
      <c r="A6" s="5" t="s">
        <v>24</v>
      </c>
      <c r="B6" s="6">
        <v>14142.040000000003</v>
      </c>
    </row>
    <row r="7" spans="1:2" x14ac:dyDescent="0.35">
      <c r="A7" s="5" t="s">
        <v>660</v>
      </c>
      <c r="B7" s="6">
        <v>53329.46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vt:lpstr>
      <vt:lpstr>Dashboard</vt:lpstr>
      <vt:lpstr>Top Products</vt:lpstr>
      <vt:lpstr>Region Sales</vt:lpstr>
      <vt:lpstr>Subcategory Profit</vt:lpstr>
      <vt:lpstr>Monthly Sales</vt:lpstr>
      <vt:lpstr>Category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saumya jaiswal</cp:lastModifiedBy>
  <dcterms:created xsi:type="dcterms:W3CDTF">2025-12-10T11:43:49Z</dcterms:created>
  <dcterms:modified xsi:type="dcterms:W3CDTF">2025-12-10T12:29:54Z</dcterms:modified>
</cp:coreProperties>
</file>